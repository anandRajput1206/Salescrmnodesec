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3.xml" ContentType="application/vnd.ms-office.chartstyle+xml"/>
  <Override PartName="/xl/charts/colors3.xml" ContentType="application/vnd.ms-office.chartcolorstyle+xml"/>
  <Override PartName="/xl/charts/chart15.xml" ContentType="application/vnd.openxmlformats-officedocument.drawingml.chart+xml"/>
  <Override PartName="/xl/charts/style4.xml" ContentType="application/vnd.ms-office.chartstyle+xml"/>
  <Override PartName="/xl/charts/colors4.xml" ContentType="application/vnd.ms-office.chartcolorstyle+xml"/>
  <Override PartName="/xl/charts/chart16.xml" ContentType="application/vnd.openxmlformats-officedocument.drawingml.chart+xml"/>
  <Override PartName="/xl/charts/style5.xml" ContentType="application/vnd.ms-office.chartstyle+xml"/>
  <Override PartName="/xl/charts/colors5.xml" ContentType="application/vnd.ms-office.chartcolorstyle+xml"/>
  <Override PartName="/xl/charts/chart17.xml" ContentType="application/vnd.openxmlformats-officedocument.drawingml.chart+xml"/>
  <Override PartName="/xl/charts/style6.xml" ContentType="application/vnd.ms-office.chartstyle+xml"/>
  <Override PartName="/xl/charts/colors6.xml" ContentType="application/vnd.ms-office.chartcolorstyle+xml"/>
  <Override PartName="/xl/charts/chart1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esktop\"/>
    </mc:Choice>
  </mc:AlternateContent>
  <bookViews>
    <workbookView xWindow="0" yWindow="0" windowWidth="15312" windowHeight="2292" tabRatio="500"/>
  </bookViews>
  <sheets>
    <sheet name="Meetings" sheetId="3" r:id="rId1"/>
    <sheet name="Partners" sheetId="6" r:id="rId2"/>
    <sheet name="Forecast" sheetId="7" r:id="rId3"/>
    <sheet name="Pipeline" sheetId="2" r:id="rId4"/>
    <sheet name="CRM" sheetId="1" r:id="rId5"/>
    <sheet name="Pivot" sheetId="11" r:id="rId6"/>
    <sheet name="Dashboard" sheetId="10" r:id="rId7"/>
    <sheet name="_AggData" sheetId="9" state="hidden" r:id="rId8"/>
  </sheets>
  <definedNames>
    <definedName name="_xlcn.WorksheetConnection_Final.xlsxForecastTable1" hidden="1">ForecastTable[]</definedName>
    <definedName name="_xlcn.WorksheetConnection_Final.xlsxMeetingsTable1" hidden="1">MeetingsTable[]</definedName>
    <definedName name="_xlcn.WorksheetConnection_Final.xlsxPipelineTable1" hidden="1">PipelineTable[]</definedName>
    <definedName name="Slicer_Date">#N/A</definedName>
    <definedName name="Slicer_Industry">#N/A</definedName>
  </definedNames>
  <calcPr calcId="152511" iterateDelta="1E-4"/>
  <pivotCaches>
    <pivotCache cacheId="0" r:id="rId9"/>
    <pivotCache cacheId="1" r:id="rId10"/>
    <pivotCache cacheId="2" r:id="rId11"/>
    <pivotCache cacheId="3" r:id="rId12"/>
    <pivotCache cacheId="4"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ipelineTable-4fcd3697-0ec3-4936-929c-cf8936490240" name="PipelineTable" connection="WorksheetConnection_Final.xlsx!PipelineTable"/>
          <x15:modelTable id="MeetingsTable-6b65bcd7-b0ae-4ee4-9054-53be51a5fa7b" name="MeetingsTable" connection="WorksheetConnection_Final.xlsx!MeetingsTable"/>
          <x15:modelTable id="ForecastTable-60f5caf5-26eb-421f-9f73-ca4cd34eaf70" name="ForecastTable" connection="WorksheetConnection_Final.xlsx!ForecastTable"/>
        </x15:modelTables>
      </x15:dataModel>
    </ext>
    <ext xmlns:loext="http://schemas.libreoffice.org/" uri="{7626C862-2A13-11E5-B345-FEFF819CDC9F}">
      <loext:extCalcPr stringRefSyntax="ExcelA1"/>
    </ext>
  </extLst>
</workbook>
</file>

<file path=xl/calcChain.xml><?xml version="1.0" encoding="utf-8"?>
<calcChain xmlns="http://schemas.openxmlformats.org/spreadsheetml/2006/main">
  <c r="I13" i="9" l="1"/>
  <c r="I12" i="9"/>
  <c r="I11" i="9"/>
  <c r="I10" i="9"/>
  <c r="I9" i="9"/>
  <c r="I8" i="9"/>
  <c r="I7" i="9"/>
  <c r="V6" i="9"/>
  <c r="I6" i="9"/>
  <c r="C6" i="9"/>
  <c r="B6" i="9"/>
  <c r="V5" i="9"/>
  <c r="P5" i="9"/>
  <c r="O5" i="9"/>
  <c r="I5" i="9"/>
  <c r="C5" i="9"/>
  <c r="V4" i="9"/>
  <c r="S4" i="9"/>
  <c r="P4" i="9"/>
  <c r="O4" i="9"/>
  <c r="L4" i="9"/>
  <c r="I4" i="9"/>
  <c r="F4" i="9"/>
  <c r="C4" i="9"/>
  <c r="S3" i="9"/>
  <c r="P3" i="9"/>
  <c r="O3" i="9"/>
  <c r="L3" i="9"/>
  <c r="I3" i="9"/>
  <c r="F3" i="9"/>
  <c r="C3" i="9"/>
  <c r="V2" i="9"/>
  <c r="S2" i="9"/>
  <c r="P2" i="9"/>
  <c r="O2" i="9"/>
  <c r="L2" i="9"/>
  <c r="I2" i="9"/>
  <c r="F2" i="9"/>
  <c r="C2" i="9"/>
  <c r="B2" i="9"/>
  <c r="F11" i="7"/>
  <c r="F10" i="7"/>
  <c r="F9" i="7"/>
  <c r="F8" i="7"/>
  <c r="F7" i="7"/>
  <c r="F6" i="7"/>
  <c r="F5" i="7"/>
  <c r="F4" i="7"/>
  <c r="F3" i="7"/>
  <c r="F2" i="7"/>
  <c r="B5" i="9"/>
  <c r="V3" i="9" l="1"/>
  <c r="B3" i="9"/>
  <c r="B4" i="9"/>
</calcChain>
</file>

<file path=xl/connections.xml><?xml version="1.0" encoding="utf-8"?>
<connections xmlns="http://schemas.openxmlformats.org/spreadsheetml/2006/main">
  <connection id="1" sourceFile="F:\pivots\1685851075-data.xlsx" odcFile="C:\Users\Admin\Documents\My Data Sources\1685851075-data branchwise$.odc" keepAlive="1" name="1685851075-data branchwise$" type="5" refreshedVersion="0" new="1" background="1">
    <dbPr connection="Provider=Microsoft.ACE.OLEDB.12.0;Password=&quot;&quot;;User ID=Admin;Data Source=F:\pivots\1685851075-data.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branchwise$" commandType="3"/>
  </connection>
  <connection id="2" sourceFile="F:\pivots\1685851075-data.xlsx" odcFile="C:\Users\Admin\Documents\My Data Sources\1685851075-data branchwise$.odc" keepAlive="1" name="1685851075-data branchwise$1" type="5" refreshedVersion="0" new="1" background="1">
    <dbPr connection="Provider=Microsoft.ACE.OLEDB.12.0;Password=&quot;&quot;;User ID=Admin;Data Source=F:\pivots\1685851075-data.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branchwise$" commandType="3"/>
  </connection>
  <connection id="3" sourceFile="F:\pivots\1685851075-data.xlsx" odcFile="C:\Users\Admin\Documents\My Data Sources\1685851075-data branchwise$.odc" keepAlive="1" name="1685851075-data branchwise$2" type="5" refreshedVersion="0" new="1" background="1" saveData="1">
    <dbPr connection="Provider=Microsoft.ACE.OLEDB.12.0;Password=&quot;&quot;;User ID=Admin;Data Source=F:\pivots\1685851075-data.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branchwise$" commandType="3"/>
  </connection>
  <connection id="4" sourceFile="F:\pivots\1685851075-data.xlsx" odcFile="C:\Users\Admin\Documents\My Data Sources\1685851075-data branchwise$.odc" keepAlive="1" name="1685851075-data branchwise$3" type="5" refreshedVersion="0" new="1" background="1">
    <dbPr connection="Provider=Microsoft.ACE.OLEDB.12.0;Password=&quot;&quot;;User ID=Admin;Data Source=F:\pivots\1685851075-data.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branchwise$" commandType="3"/>
  </connection>
  <connection id="5" sourceFile="F:\pivots\1685851075-data.xlsx" odcFile="C:\Users\Admin\Documents\My Data Sources\1685851075-data branchwise$.odc" keepAlive="1" name="1685851075-data branchwise$4" type="5" refreshedVersion="0" new="1" background="1">
    <dbPr connection="Provider=Microsoft.ACE.OLEDB.12.0;Password=&quot;&quot;;User ID=Admin;Data Source=F:\pivots\1685851075-data.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branchwise$" commandType="3"/>
  </connection>
  <connection id="6"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name="WorksheetConnection_Final.xlsx!ForecastTable" type="102" refreshedVersion="5" minRefreshableVersion="5">
    <extLst>
      <ext xmlns:x15="http://schemas.microsoft.com/office/spreadsheetml/2010/11/main" uri="{DE250136-89BD-433C-8126-D09CA5730AF9}">
        <x15:connection id="ForecastTable-60f5caf5-26eb-421f-9f73-ca4cd34eaf70">
          <x15:rangePr sourceName="_xlcn.WorksheetConnection_Final.xlsxForecastTable1"/>
        </x15:connection>
      </ext>
    </extLst>
  </connection>
  <connection id="8" name="WorksheetConnection_Final.xlsx!MeetingsTable" type="102" refreshedVersion="5" minRefreshableVersion="5">
    <extLst>
      <ext xmlns:x15="http://schemas.microsoft.com/office/spreadsheetml/2010/11/main" uri="{DE250136-89BD-433C-8126-D09CA5730AF9}">
        <x15:connection id="MeetingsTable-6b65bcd7-b0ae-4ee4-9054-53be51a5fa7b" autoDelete="1">
          <x15:rangePr sourceName="_xlcn.WorksheetConnection_Final.xlsxMeetingsTable1"/>
        </x15:connection>
      </ext>
    </extLst>
  </connection>
  <connection id="9" name="WorksheetConnection_Final.xlsx!PipelineTable" type="102" refreshedVersion="5" minRefreshableVersion="5">
    <extLst>
      <ext xmlns:x15="http://schemas.microsoft.com/office/spreadsheetml/2010/11/main" uri="{DE250136-89BD-433C-8126-D09CA5730AF9}">
        <x15:connection id="PipelineTable-4fcd3697-0ec3-4936-929c-cf8936490240" autoDelete="1">
          <x15:rangePr sourceName="_xlcn.WorksheetConnection_Final.xlsxPipelineTable1"/>
        </x15:connection>
      </ext>
    </extLst>
  </connection>
</connections>
</file>

<file path=xl/sharedStrings.xml><?xml version="1.0" encoding="utf-8"?>
<sst xmlns="http://schemas.openxmlformats.org/spreadsheetml/2006/main" count="382" uniqueCount="195">
  <si>
    <t>DLP SALES CRM  |  ANALYTICS DASHBOARD</t>
  </si>
  <si>
    <t xml:space="preserve">   ▌  PIPELINE  ANALYSIS</t>
  </si>
  <si>
    <t xml:space="preserve">   ▌  MEETINGS  INSIGHTS</t>
  </si>
  <si>
    <t xml:space="preserve">   ▌  FORECAST  TRENDS</t>
  </si>
  <si>
    <t xml:space="preserve">   ▌  PARTNERS  OVERVIEW</t>
  </si>
  <si>
    <t xml:space="preserve">   ▌  DASHBOARD  KPI  SUMMARY</t>
  </si>
  <si>
    <t>Opportunity ID</t>
  </si>
  <si>
    <t>Customer Name</t>
  </si>
  <si>
    <t>Industry</t>
  </si>
  <si>
    <t>Country</t>
  </si>
  <si>
    <t>Contact Person</t>
  </si>
  <si>
    <t>Lead Source</t>
  </si>
  <si>
    <t>Opportunity Value</t>
  </si>
  <si>
    <t>Stage</t>
  </si>
  <si>
    <t>Probability %</t>
  </si>
  <si>
    <t>Weighted Pipeline</t>
  </si>
  <si>
    <t>Expected Close Date</t>
  </si>
  <si>
    <t>Competitor</t>
  </si>
  <si>
    <t>Next Action</t>
  </si>
  <si>
    <t>Sales Owner</t>
  </si>
  <si>
    <t>Status</t>
  </si>
  <si>
    <t>OPP001</t>
  </si>
  <si>
    <t>Alpha Corp</t>
  </si>
  <si>
    <t>IT</t>
  </si>
  <si>
    <t>India</t>
  </si>
  <si>
    <t>Rajan M</t>
  </si>
  <si>
    <t>Website</t>
  </si>
  <si>
    <t>Proposal</t>
  </si>
  <si>
    <t>Demo</t>
  </si>
  <si>
    <t>Owner 1</t>
  </si>
  <si>
    <t>Open</t>
  </si>
  <si>
    <t>OPP002</t>
  </si>
  <si>
    <t>Beta Ltd</t>
  </si>
  <si>
    <t>Finance</t>
  </si>
  <si>
    <t>UAE</t>
  </si>
  <si>
    <t>Sara K</t>
  </si>
  <si>
    <t>Referral</t>
  </si>
  <si>
    <t>Negotiation</t>
  </si>
  <si>
    <t>Follow Up</t>
  </si>
  <si>
    <t>Owner 2</t>
  </si>
  <si>
    <t>OPP003</t>
  </si>
  <si>
    <t>Gamma Inc</t>
  </si>
  <si>
    <t>Manufacturing</t>
  </si>
  <si>
    <t>USA</t>
  </si>
  <si>
    <t>John P</t>
  </si>
  <si>
    <t>Event</t>
  </si>
  <si>
    <t>Prospecting</t>
  </si>
  <si>
    <t>Send Deck</t>
  </si>
  <si>
    <t>Closed Won</t>
  </si>
  <si>
    <t>OPP004</t>
  </si>
  <si>
    <t>Delta Pvt</t>
  </si>
  <si>
    <t>Retail</t>
  </si>
  <si>
    <t>Priya S</t>
  </si>
  <si>
    <t>LinkedIn</t>
  </si>
  <si>
    <t>Invoice</t>
  </si>
  <si>
    <t>Owner 3</t>
  </si>
  <si>
    <t>OPP005</t>
  </si>
  <si>
    <t>Epsilon Co</t>
  </si>
  <si>
    <t>UK</t>
  </si>
  <si>
    <t>Mark D</t>
  </si>
  <si>
    <t>OPP006</t>
  </si>
  <si>
    <t>Zeta Systems</t>
  </si>
  <si>
    <t>Healthcare</t>
  </si>
  <si>
    <t>Anita R</t>
  </si>
  <si>
    <t>Contract</t>
  </si>
  <si>
    <t>OPP007</t>
  </si>
  <si>
    <t>Eta Partners</t>
  </si>
  <si>
    <t>Fahad A</t>
  </si>
  <si>
    <t>Discovery</t>
  </si>
  <si>
    <t>Closed Lost</t>
  </si>
  <si>
    <t>OPP008</t>
  </si>
  <si>
    <t>Theta Corp</t>
  </si>
  <si>
    <t>Lisa N</t>
  </si>
  <si>
    <t>Handover</t>
  </si>
  <si>
    <t>OPP009</t>
  </si>
  <si>
    <t>Iota Ltd</t>
  </si>
  <si>
    <t>Suresh V</t>
  </si>
  <si>
    <t>OPP010</t>
  </si>
  <si>
    <t>Kappa Inc</t>
  </si>
  <si>
    <t>Emma B</t>
  </si>
  <si>
    <t>Date</t>
  </si>
  <si>
    <t>Customer</t>
  </si>
  <si>
    <t>Discussion Summary</t>
  </si>
  <si>
    <t>Action Items</t>
  </si>
  <si>
    <t>Owner</t>
  </si>
  <si>
    <t>Due Date</t>
  </si>
  <si>
    <t>Initial discovery call</t>
  </si>
  <si>
    <t>Send product brochure</t>
  </si>
  <si>
    <t>Demo presented</t>
  </si>
  <si>
    <t>Share pricing deck</t>
  </si>
  <si>
    <t>Requirements gathering</t>
  </si>
  <si>
    <t>Draft proposal</t>
  </si>
  <si>
    <t>Contract negotiation</t>
  </si>
  <si>
    <t>Legal review</t>
  </si>
  <si>
    <t>Technical deep-dive</t>
  </si>
  <si>
    <t>POC setup</t>
  </si>
  <si>
    <t>Exec stakeholder meeting</t>
  </si>
  <si>
    <t>ROI analysis</t>
  </si>
  <si>
    <t>Budget discussion</t>
  </si>
  <si>
    <t>Revise quote</t>
  </si>
  <si>
    <t>Final proposal review</t>
  </si>
  <si>
    <t>Sign contract</t>
  </si>
  <si>
    <t>Onboarding kickoff</t>
  </si>
  <si>
    <t>Share timeline</t>
  </si>
  <si>
    <t>Quarterly business review</t>
  </si>
  <si>
    <t>Follow up tasks</t>
  </si>
  <si>
    <t>Region</t>
  </si>
  <si>
    <t>East</t>
  </si>
  <si>
    <t>North</t>
  </si>
  <si>
    <t>South</t>
  </si>
  <si>
    <t>West</t>
  </si>
  <si>
    <t>Partner Name</t>
  </si>
  <si>
    <t>Contact</t>
  </si>
  <si>
    <t>Opportunity Count</t>
  </si>
  <si>
    <t>Pipeline Value</t>
  </si>
  <si>
    <t>SecureTech Solutions</t>
  </si>
  <si>
    <t>Raj Sharma</t>
  </si>
  <si>
    <t>Active</t>
  </si>
  <si>
    <t>CyberGuard Systems</t>
  </si>
  <si>
    <t>Amit Patel</t>
  </si>
  <si>
    <t>DataShield Partners</t>
  </si>
  <si>
    <t>Priya Nair</t>
  </si>
  <si>
    <t>NetSecure Consulting</t>
  </si>
  <si>
    <t>Sandeep Roy</t>
  </si>
  <si>
    <t>Prospect</t>
  </si>
  <si>
    <t>InfoProtect Technologies</t>
  </si>
  <si>
    <t>Mohit Verma</t>
  </si>
  <si>
    <t>DLP Experts Pvt Ltd</t>
  </si>
  <si>
    <t>Kunal Shah</t>
  </si>
  <si>
    <t>CloudDefend Solutions</t>
  </si>
  <si>
    <t>Akash Reddy</t>
  </si>
  <si>
    <t>Inactive</t>
  </si>
  <si>
    <t>SecureWave Technologies</t>
  </si>
  <si>
    <t>Ankit Das</t>
  </si>
  <si>
    <t>CyberSphere Partners</t>
  </si>
  <si>
    <t>Rohit Gupta</t>
  </si>
  <si>
    <t>TrustShield Systems</t>
  </si>
  <si>
    <t>Vivek Mehta</t>
  </si>
  <si>
    <t>DataArmor Consulting</t>
  </si>
  <si>
    <t>Deepak Kumar</t>
  </si>
  <si>
    <t>Sentinel Technologies</t>
  </si>
  <si>
    <t>Arjun Sen</t>
  </si>
  <si>
    <t>InfoSec Associates</t>
  </si>
  <si>
    <t>Nitin Jain</t>
  </si>
  <si>
    <t>SafeNet Solutions</t>
  </si>
  <si>
    <t>Pankaj Singh</t>
  </si>
  <si>
    <t>ShieldCore Technologies</t>
  </si>
  <si>
    <t>Rahul Menon</t>
  </si>
  <si>
    <t>Fortress Cyber Systems</t>
  </si>
  <si>
    <t>Abhishek Ghosh</t>
  </si>
  <si>
    <t>SecureLink Partners</t>
  </si>
  <si>
    <t>Manish Arora</t>
  </si>
  <si>
    <t>CyberMatrix Consulting</t>
  </si>
  <si>
    <t>Neeraj Bansal</t>
  </si>
  <si>
    <t>DataLock Technologies</t>
  </si>
  <si>
    <t>Harish Iyer</t>
  </si>
  <si>
    <t>RiskShield Solutions</t>
  </si>
  <si>
    <t>Sumit Dutta</t>
  </si>
  <si>
    <t>Month</t>
  </si>
  <si>
    <t>Target</t>
  </si>
  <si>
    <t>Achievement %</t>
  </si>
  <si>
    <t>Jan</t>
  </si>
  <si>
    <t>Feb</t>
  </si>
  <si>
    <t>Mar</t>
  </si>
  <si>
    <t>Apr</t>
  </si>
  <si>
    <t>May</t>
  </si>
  <si>
    <t>Jun</t>
  </si>
  <si>
    <t>Jul</t>
  </si>
  <si>
    <t>Aug</t>
  </si>
  <si>
    <t>Sep</t>
  </si>
  <si>
    <t>Oct</t>
  </si>
  <si>
    <t>Value</t>
  </si>
  <si>
    <t>Count</t>
  </si>
  <si>
    <t>Meeting Count</t>
  </si>
  <si>
    <t>Meetings</t>
  </si>
  <si>
    <t>Opp Count</t>
  </si>
  <si>
    <t>KPI</t>
  </si>
  <si>
    <t>Total Pipeline</t>
  </si>
  <si>
    <t>Open Deals Value</t>
  </si>
  <si>
    <t>Germany</t>
  </si>
  <si>
    <t>Total Forecast</t>
  </si>
  <si>
    <t>Nov</t>
  </si>
  <si>
    <t>Dec</t>
  </si>
  <si>
    <t>Row Labels</t>
  </si>
  <si>
    <t>Grand Total</t>
  </si>
  <si>
    <t>Sum of Pipeline Value</t>
  </si>
  <si>
    <t>Column Labels</t>
  </si>
  <si>
    <t>Countrywise Opportunity Value</t>
  </si>
  <si>
    <t>Competitorwise Probability</t>
  </si>
  <si>
    <t>Count of Action Items</t>
  </si>
  <si>
    <t>Customerwise Owner %</t>
  </si>
  <si>
    <t>Contactwise Opportunity Value</t>
  </si>
  <si>
    <t>Opp11</t>
  </si>
  <si>
    <t>Prakhar</t>
  </si>
  <si>
    <t>PK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</si>
</sst>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6" x14ac:knownFonts="1">
    <font>
      <sz val="11"/>
      <color theme="1"/>
      <name val="Calibri"/>
      <family val="2"/>
      <charset val="1"/>
    </font>
    <font>
      <b/>
      <sz val="11"/>
      <name val="Calibri"/>
      <family val="2"/>
      <charset val="1"/>
    </font>
    <font>
      <sz val="11"/>
      <color theme="1"/>
      <name val="Calibri"/>
      <family val="2"/>
      <charset val="1"/>
    </font>
    <font>
      <b/>
      <sz val="72"/>
      <color rgb="FFFFFFFF"/>
      <name val="Calibri"/>
      <family val="2"/>
    </font>
    <font>
      <b/>
      <sz val="28"/>
      <color rgb="FF38BDF8"/>
      <name val="Calibri"/>
      <family val="2"/>
    </font>
    <font>
      <b/>
      <sz val="11"/>
      <color theme="1"/>
      <name val="Calibri"/>
      <family val="2"/>
    </font>
  </fonts>
  <fills count="6">
    <fill>
      <patternFill patternType="none"/>
    </fill>
    <fill>
      <patternFill patternType="gray125"/>
    </fill>
    <fill>
      <patternFill patternType="solid">
        <fgColor rgb="FF1C2B4A"/>
        <bgColor rgb="FF0D1B2A"/>
      </patternFill>
    </fill>
    <fill>
      <patternFill patternType="solid">
        <fgColor rgb="FF0D1B2A"/>
        <bgColor rgb="FF1C2B4A"/>
      </patternFill>
    </fill>
    <fill>
      <patternFill patternType="solid">
        <fgColor theme="5" tint="-0.499984740745262"/>
        <bgColor rgb="FF1D4ED8"/>
      </patternFill>
    </fill>
    <fill>
      <patternFill patternType="solid">
        <fgColor theme="5" tint="-0.499984740745262"/>
        <bgColor rgb="FF1C2B4A"/>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applyBorder="0" applyProtection="0"/>
    <xf numFmtId="0" fontId="2" fillId="0" borderId="0" applyBorder="0" applyProtection="0"/>
    <xf numFmtId="0" fontId="2" fillId="0" borderId="0" applyBorder="0" applyProtection="0"/>
    <xf numFmtId="0" fontId="2" fillId="0" borderId="0" applyBorder="0" applyProtection="0">
      <alignment horizontal="left"/>
    </xf>
  </cellStyleXfs>
  <cellXfs count="29">
    <xf numFmtId="0" fontId="0" fillId="0" borderId="0" xfId="0"/>
    <xf numFmtId="0" fontId="0" fillId="3" borderId="0" xfId="0" applyFill="1"/>
    <xf numFmtId="0" fontId="0" fillId="0" borderId="0" xfId="0" applyFont="1"/>
    <xf numFmtId="0" fontId="0" fillId="5" borderId="0" xfId="0" applyFill="1"/>
    <xf numFmtId="0" fontId="1" fillId="0" borderId="0" xfId="0" applyFon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0" fontId="0" fillId="0" borderId="0" xfId="0" applyFont="1" applyAlignment="1">
      <alignment horizontal="center" vertical="center"/>
    </xf>
    <xf numFmtId="0" fontId="0" fillId="0" borderId="2" xfId="0" pivotButton="1" applyBorder="1" applyAlignment="1">
      <alignment horizontal="center" vertical="center"/>
    </xf>
    <xf numFmtId="0" fontId="0" fillId="0" borderId="2" xfId="0" applyBorder="1" applyAlignment="1">
      <alignment horizontal="center" vertical="center"/>
    </xf>
    <xf numFmtId="0" fontId="0" fillId="0" borderId="2" xfId="0" applyNumberFormat="1" applyBorder="1" applyAlignment="1">
      <alignment horizontal="center" vertical="center"/>
    </xf>
    <xf numFmtId="0" fontId="0" fillId="0" borderId="2" xfId="0" pivotButton="1" applyBorder="1"/>
    <xf numFmtId="0" fontId="0" fillId="0" borderId="2" xfId="0" applyBorder="1"/>
    <xf numFmtId="0" fontId="0" fillId="0" borderId="2" xfId="0" applyBorder="1" applyAlignment="1">
      <alignment horizontal="left"/>
    </xf>
    <xf numFmtId="10" fontId="0" fillId="0" borderId="2" xfId="0" applyNumberFormat="1" applyBorder="1"/>
    <xf numFmtId="0" fontId="0" fillId="0" borderId="5" xfId="0" applyNumberFormat="1" applyBorder="1" applyAlignment="1">
      <alignment horizontal="center" vertical="center"/>
    </xf>
    <xf numFmtId="0" fontId="0" fillId="0" borderId="6" xfId="0" applyNumberFormat="1" applyBorder="1" applyAlignment="1">
      <alignment horizontal="center" vertical="center"/>
    </xf>
    <xf numFmtId="0" fontId="0" fillId="0" borderId="5" xfId="0" pivotButton="1"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2" fillId="0" borderId="0" xfId="3"/>
    <xf numFmtId="0" fontId="0" fillId="0" borderId="0" xfId="0" applyAlignment="1">
      <alignment horizont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xf>
    <xf numFmtId="0" fontId="0" fillId="0" borderId="1" xfId="0" applyBorder="1" applyAlignment="1">
      <alignment horizontal="center"/>
    </xf>
    <xf numFmtId="0" fontId="3" fillId="4" borderId="0" xfId="0" applyFont="1" applyFill="1" applyBorder="1" applyAlignment="1">
      <alignment horizontal="center" vertical="center"/>
    </xf>
    <xf numFmtId="0" fontId="4" fillId="2" borderId="0" xfId="0" applyFont="1" applyFill="1" applyBorder="1" applyAlignment="1">
      <alignment horizontal="center" vertical="center"/>
    </xf>
  </cellXfs>
  <cellStyles count="5">
    <cellStyle name="Normal" xfId="0" builtinId="0"/>
    <cellStyle name="Pivot Table Category" xfId="4"/>
    <cellStyle name="Pivot Table Corner" xfId="1"/>
    <cellStyle name="Pivot Table Field" xfId="3"/>
    <cellStyle name="Pivot Table Value" xfId="2"/>
  </cellStyles>
  <dxfs count="103">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bottom style="thin">
          <color indexed="64"/>
        </bottom>
      </border>
    </dxf>
    <dxf>
      <border>
        <bottom style="thin">
          <color indexed="64"/>
        </bottom>
      </border>
    </dxf>
    <dxf>
      <border>
        <bottom style="thin">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indexedColors>
      <rgbColor rgb="FF000000"/>
      <rgbColor rgb="FFFFFFFF"/>
      <rgbColor rgb="FFE11D48"/>
      <rgbColor rgb="FF00FF00"/>
      <rgbColor rgb="FF0000FF"/>
      <rgbColor rgb="FFFFFF00"/>
      <rgbColor rgb="FFFF00FF"/>
      <rgbColor rgb="FF00FFFF"/>
      <rgbColor rgb="FF800000"/>
      <rgbColor rgb="FF065F46"/>
      <rgbColor rgb="FF000080"/>
      <rgbColor rgb="FF808000"/>
      <rgbColor rgb="FF7C3AED"/>
      <rgbColor rgb="FF0F766E"/>
      <rgbColor rgb="FFC0C0C0"/>
      <rgbColor rgb="FF878787"/>
      <rgbColor rgb="FF9999FF"/>
      <rgbColor rgb="FFBE185D"/>
      <rgbColor rgb="FFF9F9F9"/>
      <rgbColor rgb="FFCCFFFF"/>
      <rgbColor rgb="FF660066"/>
      <rgbColor rgb="FFFF8080"/>
      <rgbColor rgb="FF1D4ED8"/>
      <rgbColor rgb="FFD9D9D9"/>
      <rgbColor rgb="FF000080"/>
      <rgbColor rgb="FFFF00FF"/>
      <rgbColor rgb="FFFFFF00"/>
      <rgbColor rgb="FF00FFFF"/>
      <rgbColor rgb="FF800080"/>
      <rgbColor rgb="FF800000"/>
      <rgbColor rgb="FF059669"/>
      <rgbColor rgb="FF0000FF"/>
      <rgbColor rgb="FF00CCFF"/>
      <rgbColor rgb="FFCCFFFF"/>
      <rgbColor rgb="FFCCFFCC"/>
      <rgbColor rgb="FFFFFF99"/>
      <rgbColor rgb="FF99CCFF"/>
      <rgbColor rgb="FFFF99CC"/>
      <rgbColor rgb="FFCC99FF"/>
      <rgbColor rgb="FFFFCC99"/>
      <rgbColor rgb="FF2563EB"/>
      <rgbColor rgb="FF38BDF8"/>
      <rgbColor rgb="FF99CC00"/>
      <rgbColor rgb="FFFFCC00"/>
      <rgbColor rgb="FFFF9900"/>
      <rgbColor rgb="FFD97706"/>
      <rgbColor rgb="FF595959"/>
      <rgbColor rgb="FF4F81BD"/>
      <rgbColor rgb="FF003366"/>
      <rgbColor rgb="FF0891B2"/>
      <rgbColor rgb="FF0D1B2A"/>
      <rgbColor rgb="FF333300"/>
      <rgbColor rgb="FF92400E"/>
      <rgbColor rgb="FFB45309"/>
      <rgbColor rgb="FF475569"/>
      <rgbColor rgb="FF1C2B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Country vs Weighted Pipeline</a:t>
            </a:r>
          </a:p>
        </c:rich>
      </c:tx>
      <c:layout/>
      <c:overlay val="0"/>
      <c:spPr>
        <a:noFill/>
        <a:ln w="0">
          <a:noFill/>
        </a:ln>
      </c:spPr>
    </c:title>
    <c:autoTitleDeleted val="0"/>
    <c:plotArea>
      <c:layout>
        <c:manualLayout>
          <c:layoutTarget val="inner"/>
          <c:xMode val="edge"/>
          <c:yMode val="edge"/>
          <c:x val="0.12940581664098613"/>
          <c:y val="8.8944044625567209E-2"/>
          <c:w val="0.80184636765537054"/>
          <c:h val="0.79466145456997794"/>
        </c:manualLayout>
      </c:layout>
      <c:barChart>
        <c:barDir val="col"/>
        <c:grouping val="clustered"/>
        <c:varyColors val="0"/>
        <c:ser>
          <c:idx val="0"/>
          <c:order val="0"/>
          <c:spPr>
            <a:solidFill>
              <a:srgbClr val="4F81BD"/>
            </a:solidFill>
            <a:ln w="9360">
              <a:solidFill>
                <a:srgbClr val="F9F9F9"/>
              </a:solidFill>
              <a:round/>
            </a:ln>
          </c:spPr>
          <c:invertIfNegative val="0"/>
          <c:dPt>
            <c:idx val="0"/>
            <c:invertIfNegative val="0"/>
            <c:bubble3D val="0"/>
            <c:spPr>
              <a:solidFill>
                <a:srgbClr val="2563EB"/>
              </a:solidFill>
              <a:ln w="9360">
                <a:solidFill>
                  <a:srgbClr val="F9F9F9"/>
                </a:solidFill>
                <a:round/>
              </a:ln>
            </c:spPr>
          </c:dPt>
          <c:dPt>
            <c:idx val="1"/>
            <c:invertIfNegative val="0"/>
            <c:bubble3D val="0"/>
            <c:spPr>
              <a:solidFill>
                <a:srgbClr val="0891B2"/>
              </a:solidFill>
              <a:ln w="9360">
                <a:solidFill>
                  <a:srgbClr val="F9F9F9"/>
                </a:solidFill>
                <a:round/>
              </a:ln>
            </c:spPr>
          </c:dPt>
          <c:dPt>
            <c:idx val="2"/>
            <c:invertIfNegative val="0"/>
            <c:bubble3D val="0"/>
            <c:spPr>
              <a:solidFill>
                <a:srgbClr val="E11D48"/>
              </a:solidFill>
              <a:ln w="9360">
                <a:solidFill>
                  <a:srgbClr val="F9F9F9"/>
                </a:solidFill>
                <a:round/>
              </a:ln>
            </c:spPr>
          </c:dPt>
          <c:dPt>
            <c:idx val="3"/>
            <c:invertIfNegative val="0"/>
            <c:bubble3D val="0"/>
            <c:spPr>
              <a:solidFill>
                <a:srgbClr val="D97706"/>
              </a:solidFill>
              <a:ln w="9360">
                <a:solidFill>
                  <a:srgbClr val="F9F9F9"/>
                </a:solidFill>
                <a:round/>
              </a:ln>
            </c:spPr>
          </c:dPt>
          <c:dPt>
            <c:idx val="4"/>
            <c:invertIfNegative val="0"/>
            <c:bubble3D val="0"/>
            <c:spPr>
              <a:solidFill>
                <a:srgbClr val="059669"/>
              </a:solidFill>
              <a:ln w="9360">
                <a:solidFill>
                  <a:srgbClr val="F9F9F9"/>
                </a:solidFill>
                <a:round/>
              </a:ln>
            </c:spPr>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_AggData!$A$2:$A$6</c:f>
              <c:strCache>
                <c:ptCount val="5"/>
                <c:pt idx="0">
                  <c:v>India</c:v>
                </c:pt>
                <c:pt idx="1">
                  <c:v>UAE</c:v>
                </c:pt>
                <c:pt idx="2">
                  <c:v>USA</c:v>
                </c:pt>
                <c:pt idx="3">
                  <c:v>UK</c:v>
                </c:pt>
                <c:pt idx="4">
                  <c:v>Germany</c:v>
                </c:pt>
              </c:strCache>
            </c:strRef>
          </c:cat>
          <c:val>
            <c:numRef>
              <c:f>_AggData!$B$2:$B$6</c:f>
              <c:numCache>
                <c:formatCode>General</c:formatCode>
                <c:ptCount val="5"/>
                <c:pt idx="0">
                  <c:v>4200012</c:v>
                </c:pt>
                <c:pt idx="1">
                  <c:v>1200003</c:v>
                </c:pt>
                <c:pt idx="2">
                  <c:v>1200003</c:v>
                </c:pt>
                <c:pt idx="3">
                  <c:v>2000006</c:v>
                </c:pt>
                <c:pt idx="4">
                  <c:v>0</c:v>
                </c:pt>
              </c:numCache>
            </c:numRef>
          </c:val>
        </c:ser>
        <c:dLbls>
          <c:showLegendKey val="0"/>
          <c:showVal val="0"/>
          <c:showCatName val="0"/>
          <c:showSerName val="0"/>
          <c:showPercent val="0"/>
          <c:showBubbleSize val="0"/>
        </c:dLbls>
        <c:gapWidth val="150"/>
        <c:axId val="385278560"/>
        <c:axId val="383754384"/>
      </c:barChart>
      <c:catAx>
        <c:axId val="3852785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754384"/>
        <c:crosses val="autoZero"/>
        <c:auto val="1"/>
        <c:lblAlgn val="ctr"/>
        <c:lblOffset val="100"/>
        <c:noMultiLvlLbl val="0"/>
      </c:catAx>
      <c:valAx>
        <c:axId val="38375438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527856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Deal Status (Open / Closed)</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51068213247537"/>
          <c:y val="0.20260259305975187"/>
          <c:w val="0.7961470945164113"/>
          <c:h val="0.6895730055830962"/>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Pt>
            <c:idx val="2"/>
            <c:bubble3D val="0"/>
            <c:spPr>
              <a:solidFill>
                <a:schemeClr val="accent3"/>
              </a:solidFill>
              <a:ln>
                <a:noFill/>
              </a:ln>
              <a:effectLst>
                <a:outerShdw blurRad="63500" sx="102000" sy="102000" algn="ctr" rotWithShape="0">
                  <a:prstClr val="black">
                    <a:alpha val="20000"/>
                  </a:prstClr>
                </a:outerShdw>
              </a:effectLst>
            </c:spPr>
          </c:dPt>
          <c:dLbls>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1"/>
              <c:showBubbleSize val="1"/>
              <c:extLst>
                <c:ext xmlns:c15="http://schemas.microsoft.com/office/drawing/2012/chart" uri="{CE6537A1-D6FC-4f65-9D91-7224C49458BB}">
                  <c15:layout/>
                </c:ext>
              </c:extLst>
            </c:dLbl>
            <c:dLbl>
              <c:idx val="1"/>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1"/>
              <c:showBubbleSize val="1"/>
              <c:extLst>
                <c:ext xmlns:c15="http://schemas.microsoft.com/office/drawing/2012/chart" uri="{CE6537A1-D6FC-4f65-9D91-7224C49458BB}">
                  <c15:layout/>
                </c:ext>
              </c:extLst>
            </c:dLbl>
            <c:dLbl>
              <c:idx val="2"/>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1"/>
              <c:showVal val="1"/>
              <c:showCatName val="1"/>
              <c:showSerName val="0"/>
              <c:showPercent val="1"/>
              <c:showBubbleSize val="1"/>
              <c:extLst>
                <c:ext xmlns:c15="http://schemas.microsoft.com/office/drawing/2012/chart" uri="{CE6537A1-D6FC-4f65-9D91-7224C49458BB}">
                  <c15:layout/>
                </c:ext>
              </c:extLst>
            </c:dLbl>
            <c:spPr>
              <a:noFill/>
              <a:ln>
                <a:noFill/>
              </a:ln>
              <a:effectLst/>
            </c:spPr>
            <c:dLblPos val="outEnd"/>
            <c:showLegendKey val="1"/>
            <c:showVal val="1"/>
            <c:showCatName val="1"/>
            <c:showSerName val="0"/>
            <c:showPercent val="1"/>
            <c:showBubbleSize val="1"/>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_AggData!$E$2:$E$4</c:f>
              <c:strCache>
                <c:ptCount val="3"/>
                <c:pt idx="0">
                  <c:v>Open</c:v>
                </c:pt>
                <c:pt idx="1">
                  <c:v>Closed Won</c:v>
                </c:pt>
                <c:pt idx="2">
                  <c:v>Closed Lost</c:v>
                </c:pt>
              </c:strCache>
            </c:strRef>
          </c:cat>
          <c:val>
            <c:numRef>
              <c:f>_AggData!$F$2:$F$4</c:f>
              <c:numCache>
                <c:formatCode>General</c:formatCode>
                <c:ptCount val="3"/>
                <c:pt idx="0">
                  <c:v>7</c:v>
                </c:pt>
                <c:pt idx="1">
                  <c:v>3</c:v>
                </c:pt>
                <c:pt idx="2">
                  <c:v>0</c:v>
                </c:pt>
              </c:numCache>
            </c:numRef>
          </c:val>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Country vs Opportunity Value (₹)</a:t>
            </a:r>
          </a:p>
        </c:rich>
      </c:tx>
      <c:layout/>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Pt>
            <c:idx val="0"/>
            <c:invertIfNegative val="0"/>
            <c:bubble3D val="0"/>
            <c:spPr>
              <a:solidFill>
                <a:srgbClr val="2563EB"/>
              </a:solidFill>
              <a:ln w="9360">
                <a:solidFill>
                  <a:srgbClr val="F9F9F9"/>
                </a:solidFill>
                <a:round/>
              </a:ln>
            </c:spPr>
          </c:dPt>
          <c:dPt>
            <c:idx val="1"/>
            <c:invertIfNegative val="0"/>
            <c:bubble3D val="0"/>
            <c:spPr>
              <a:solidFill>
                <a:srgbClr val="0891B2"/>
              </a:solidFill>
              <a:ln w="9360">
                <a:solidFill>
                  <a:srgbClr val="F9F9F9"/>
                </a:solidFill>
                <a:round/>
              </a:ln>
            </c:spPr>
          </c:dPt>
          <c:dPt>
            <c:idx val="2"/>
            <c:invertIfNegative val="0"/>
            <c:bubble3D val="0"/>
            <c:spPr>
              <a:solidFill>
                <a:srgbClr val="E11D48"/>
              </a:solidFill>
              <a:ln w="9360">
                <a:solidFill>
                  <a:srgbClr val="F9F9F9"/>
                </a:solidFill>
                <a:round/>
              </a:ln>
            </c:spPr>
          </c:dPt>
          <c:dPt>
            <c:idx val="3"/>
            <c:invertIfNegative val="0"/>
            <c:bubble3D val="0"/>
            <c:spPr>
              <a:solidFill>
                <a:srgbClr val="D97706"/>
              </a:solidFill>
              <a:ln w="9360">
                <a:solidFill>
                  <a:srgbClr val="F9F9F9"/>
                </a:solidFill>
                <a:round/>
              </a:ln>
            </c:spPr>
          </c:dPt>
          <c:dPt>
            <c:idx val="4"/>
            <c:invertIfNegative val="0"/>
            <c:bubble3D val="0"/>
            <c:spPr>
              <a:solidFill>
                <a:srgbClr val="059669"/>
              </a:solidFill>
              <a:ln w="9360">
                <a:solidFill>
                  <a:srgbClr val="F9F9F9"/>
                </a:solidFill>
                <a:round/>
              </a:ln>
            </c:spPr>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_AggData!$A$2:$A$6</c:f>
              <c:strCache>
                <c:ptCount val="5"/>
                <c:pt idx="0">
                  <c:v>India</c:v>
                </c:pt>
                <c:pt idx="1">
                  <c:v>UAE</c:v>
                </c:pt>
                <c:pt idx="2">
                  <c:v>USA</c:v>
                </c:pt>
                <c:pt idx="3">
                  <c:v>UK</c:v>
                </c:pt>
                <c:pt idx="4">
                  <c:v>Germany</c:v>
                </c:pt>
              </c:strCache>
            </c:strRef>
          </c:cat>
          <c:val>
            <c:numRef>
              <c:f>_AggData!$C$2:$C$6</c:f>
              <c:numCache>
                <c:formatCode>General</c:formatCode>
                <c:ptCount val="5"/>
                <c:pt idx="0">
                  <c:v>11080000</c:v>
                </c:pt>
                <c:pt idx="1">
                  <c:v>345000</c:v>
                </c:pt>
                <c:pt idx="2">
                  <c:v>625000</c:v>
                </c:pt>
                <c:pt idx="3">
                  <c:v>565000</c:v>
                </c:pt>
                <c:pt idx="4">
                  <c:v>0</c:v>
                </c:pt>
              </c:numCache>
            </c:numRef>
          </c:val>
        </c:ser>
        <c:dLbls>
          <c:showLegendKey val="0"/>
          <c:showVal val="0"/>
          <c:showCatName val="0"/>
          <c:showSerName val="0"/>
          <c:showPercent val="0"/>
          <c:showBubbleSize val="0"/>
        </c:dLbls>
        <c:gapWidth val="150"/>
        <c:axId val="383755472"/>
        <c:axId val="383757104"/>
      </c:barChart>
      <c:catAx>
        <c:axId val="38375547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757104"/>
        <c:crosses val="autoZero"/>
        <c:auto val="1"/>
        <c:lblAlgn val="ctr"/>
        <c:lblOffset val="100"/>
        <c:noMultiLvlLbl val="0"/>
      </c:catAx>
      <c:valAx>
        <c:axId val="38375710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75547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Meetings by Month</a:t>
            </a:r>
          </a:p>
        </c:rich>
      </c:tx>
      <c:layout/>
      <c:overlay val="0"/>
      <c:spPr>
        <a:noFill/>
        <a:ln w="0">
          <a:noFill/>
        </a:ln>
      </c:spPr>
    </c:title>
    <c:autoTitleDeleted val="0"/>
    <c:plotArea>
      <c:layout/>
      <c:lineChart>
        <c:grouping val="standard"/>
        <c:varyColors val="0"/>
        <c:ser>
          <c:idx val="0"/>
          <c:order val="0"/>
          <c:spPr>
            <a:ln w="28080">
              <a:solidFill>
                <a:srgbClr val="0891B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_AggData!$H$2:$H$13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_AggData!$I$2:$I$13</c:f>
              <c:numCache>
                <c:formatCode>General</c:formatCode>
                <c:ptCount val="12"/>
                <c:pt idx="0">
                  <c:v>3</c:v>
                </c:pt>
                <c:pt idx="1">
                  <c:v>3</c:v>
                </c:pt>
                <c:pt idx="2">
                  <c:v>2</c:v>
                </c:pt>
                <c:pt idx="3">
                  <c:v>2</c:v>
                </c:pt>
                <c:pt idx="4">
                  <c:v>0</c:v>
                </c:pt>
                <c:pt idx="5">
                  <c:v>0</c:v>
                </c:pt>
                <c:pt idx="6">
                  <c:v>0</c:v>
                </c:pt>
                <c:pt idx="7">
                  <c:v>0</c:v>
                </c:pt>
                <c:pt idx="8">
                  <c:v>0</c:v>
                </c:pt>
                <c:pt idx="9">
                  <c:v>0</c:v>
                </c:pt>
                <c:pt idx="10">
                  <c:v>0</c:v>
                </c:pt>
                <c:pt idx="11">
                  <c:v>0</c:v>
                </c:pt>
              </c:numCache>
            </c:numRef>
          </c:val>
          <c:smooth val="1"/>
        </c:ser>
        <c:dLbls>
          <c:showLegendKey val="0"/>
          <c:showVal val="0"/>
          <c:showCatName val="0"/>
          <c:showSerName val="0"/>
          <c:showPercent val="0"/>
          <c:showBubbleSize val="0"/>
        </c:dLbls>
        <c:hiLowLines>
          <c:spPr>
            <a:ln w="0">
              <a:noFill/>
            </a:ln>
          </c:spPr>
        </c:hiLowLines>
        <c:smooth val="0"/>
        <c:axId val="383759280"/>
        <c:axId val="383759824"/>
      </c:lineChart>
      <c:catAx>
        <c:axId val="38375928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759824"/>
        <c:crosses val="autoZero"/>
        <c:auto val="1"/>
        <c:lblAlgn val="ctr"/>
        <c:lblOffset val="100"/>
        <c:noMultiLvlLbl val="0"/>
      </c:catAx>
      <c:valAx>
        <c:axId val="38375982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75928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Meetings by Owner</a:t>
            </a:r>
          </a:p>
        </c:rich>
      </c:tx>
      <c:layout/>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Pt>
            <c:idx val="0"/>
            <c:invertIfNegative val="0"/>
            <c:bubble3D val="0"/>
            <c:spPr>
              <a:solidFill>
                <a:srgbClr val="2563EB"/>
              </a:solidFill>
              <a:ln w="9360">
                <a:solidFill>
                  <a:srgbClr val="F9F9F9"/>
                </a:solidFill>
                <a:round/>
              </a:ln>
            </c:spPr>
          </c:dPt>
          <c:dPt>
            <c:idx val="1"/>
            <c:invertIfNegative val="0"/>
            <c:bubble3D val="0"/>
            <c:spPr>
              <a:solidFill>
                <a:srgbClr val="0891B2"/>
              </a:solidFill>
              <a:ln w="9360">
                <a:solidFill>
                  <a:srgbClr val="F9F9F9"/>
                </a:solidFill>
                <a:round/>
              </a:ln>
            </c:spPr>
          </c:dPt>
          <c:dPt>
            <c:idx val="2"/>
            <c:invertIfNegative val="0"/>
            <c:bubble3D val="0"/>
            <c:spPr>
              <a:solidFill>
                <a:srgbClr val="E11D48"/>
              </a:solidFill>
              <a:ln w="9360">
                <a:solidFill>
                  <a:srgbClr val="F9F9F9"/>
                </a:solidFill>
                <a:round/>
              </a:ln>
            </c:spPr>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_AggData!$K$2:$K$4</c:f>
              <c:strCache>
                <c:ptCount val="3"/>
                <c:pt idx="0">
                  <c:v>Owner 1</c:v>
                </c:pt>
                <c:pt idx="1">
                  <c:v>Owner 2</c:v>
                </c:pt>
                <c:pt idx="2">
                  <c:v>Owner 3</c:v>
                </c:pt>
              </c:strCache>
            </c:strRef>
          </c:cat>
          <c:val>
            <c:numRef>
              <c:f>_AggData!$L$2:$L$4</c:f>
              <c:numCache>
                <c:formatCode>General</c:formatCode>
                <c:ptCount val="3"/>
                <c:pt idx="0">
                  <c:v>4</c:v>
                </c:pt>
                <c:pt idx="1">
                  <c:v>3</c:v>
                </c:pt>
                <c:pt idx="2">
                  <c:v>3</c:v>
                </c:pt>
              </c:numCache>
            </c:numRef>
          </c:val>
        </c:ser>
        <c:dLbls>
          <c:showLegendKey val="0"/>
          <c:showVal val="0"/>
          <c:showCatName val="0"/>
          <c:showSerName val="0"/>
          <c:showPercent val="0"/>
          <c:showBubbleSize val="0"/>
        </c:dLbls>
        <c:gapWidth val="150"/>
        <c:axId val="383753840"/>
        <c:axId val="386735664"/>
      </c:barChart>
      <c:catAx>
        <c:axId val="3837538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735664"/>
        <c:crosses val="autoZero"/>
        <c:auto val="1"/>
        <c:lblAlgn val="ctr"/>
        <c:lblOffset val="100"/>
        <c:noMultiLvlLbl val="0"/>
      </c:catAx>
      <c:valAx>
        <c:axId val="38673566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75384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Achievement %</a:t>
            </a:r>
          </a:p>
        </c:rich>
      </c:tx>
      <c:overlay val="0"/>
      <c:spPr>
        <a:noFill/>
        <a:ln w="0">
          <a:noFill/>
        </a:ln>
      </c:spPr>
    </c:title>
    <c:autoTitleDeleted val="0"/>
    <c:plotArea>
      <c:layout>
        <c:manualLayout>
          <c:layoutTarget val="inner"/>
          <c:xMode val="edge"/>
          <c:yMode val="edge"/>
          <c:x val="4.162377535266816E-2"/>
          <c:y val="0.14613641696486185"/>
          <c:w val="0.92650476950366012"/>
          <c:h val="0.79161998201051997"/>
        </c:manualLayout>
      </c:layout>
      <c:lineChart>
        <c:grouping val="standard"/>
        <c:varyColors val="0"/>
        <c:ser>
          <c:idx val="0"/>
          <c:order val="0"/>
          <c:spPr>
            <a:ln w="28080">
              <a:solidFill>
                <a:srgbClr val="D9770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Forecast!$A$2:$A$11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Forecast!$F$2:$F$11</c:f>
              <c:numCache>
                <c:formatCode>General</c:formatCode>
                <c:ptCount val="10"/>
                <c:pt idx="0">
                  <c:v>37.5</c:v>
                </c:pt>
                <c:pt idx="1">
                  <c:v>38</c:v>
                </c:pt>
                <c:pt idx="2">
                  <c:v>40.625</c:v>
                </c:pt>
                <c:pt idx="3">
                  <c:v>42.5</c:v>
                </c:pt>
                <c:pt idx="4">
                  <c:v>44.897959183673471</c:v>
                </c:pt>
                <c:pt idx="5">
                  <c:v>46.428571428571431</c:v>
                </c:pt>
                <c:pt idx="6">
                  <c:v>46.875</c:v>
                </c:pt>
                <c:pt idx="7">
                  <c:v>47.887323943661968</c:v>
                </c:pt>
                <c:pt idx="8">
                  <c:v>50</c:v>
                </c:pt>
                <c:pt idx="9">
                  <c:v>51.19047619047619</c:v>
                </c:pt>
              </c:numCache>
            </c:numRef>
          </c:val>
          <c:smooth val="1"/>
        </c:ser>
        <c:dLbls>
          <c:showLegendKey val="0"/>
          <c:showVal val="0"/>
          <c:showCatName val="0"/>
          <c:showSerName val="0"/>
          <c:showPercent val="0"/>
          <c:showBubbleSize val="0"/>
        </c:dLbls>
        <c:hiLowLines>
          <c:spPr>
            <a:ln w="0">
              <a:noFill/>
            </a:ln>
          </c:spPr>
        </c:hiLowLines>
        <c:smooth val="0"/>
        <c:axId val="386738384"/>
        <c:axId val="386737296"/>
      </c:lineChart>
      <c:catAx>
        <c:axId val="3867383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737296"/>
        <c:crosses val="autoZero"/>
        <c:auto val="1"/>
        <c:lblAlgn val="ctr"/>
        <c:lblOffset val="100"/>
        <c:noMultiLvlLbl val="0"/>
      </c:catAx>
      <c:valAx>
        <c:axId val="38673729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73838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Target vs Closed Won by Month</a:t>
            </a:r>
          </a:p>
        </c:rich>
      </c:tx>
      <c:overlay val="0"/>
      <c:spPr>
        <a:noFill/>
        <a:ln w="0">
          <a:noFill/>
        </a:ln>
      </c:spPr>
    </c:title>
    <c:autoTitleDeleted val="0"/>
    <c:plotArea>
      <c:layout/>
      <c:barChart>
        <c:barDir val="col"/>
        <c:grouping val="clustered"/>
        <c:varyColors val="0"/>
        <c:ser>
          <c:idx val="0"/>
          <c:order val="0"/>
          <c:tx>
            <c:v>Target</c:v>
          </c:tx>
          <c:spPr>
            <a:solidFill>
              <a:srgbClr val="E11D48"/>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Forecast!$A$2:$A$11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Forecast!$E$2:$E$11</c:f>
              <c:numCache>
                <c:formatCode>General</c:formatCode>
                <c:ptCount val="10"/>
                <c:pt idx="0">
                  <c:v>160000</c:v>
                </c:pt>
                <c:pt idx="1">
                  <c:v>250000</c:v>
                </c:pt>
                <c:pt idx="2">
                  <c:v>320000</c:v>
                </c:pt>
                <c:pt idx="3">
                  <c:v>400000</c:v>
                </c:pt>
                <c:pt idx="4">
                  <c:v>490000</c:v>
                </c:pt>
                <c:pt idx="5">
                  <c:v>560000</c:v>
                </c:pt>
                <c:pt idx="6">
                  <c:v>640000</c:v>
                </c:pt>
                <c:pt idx="7">
                  <c:v>710000</c:v>
                </c:pt>
                <c:pt idx="8">
                  <c:v>780000</c:v>
                </c:pt>
                <c:pt idx="9">
                  <c:v>840000</c:v>
                </c:pt>
              </c:numCache>
            </c:numRef>
          </c:val>
        </c:ser>
        <c:ser>
          <c:idx val="1"/>
          <c:order val="1"/>
          <c:tx>
            <c:v>Closed Won</c:v>
          </c:tx>
          <c:spPr>
            <a:solidFill>
              <a:srgbClr val="059669"/>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Forecast!$A$2:$A$11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Forecast!$D$2:$D$11</c:f>
              <c:numCache>
                <c:formatCode>General</c:formatCode>
                <c:ptCount val="10"/>
                <c:pt idx="0">
                  <c:v>60000</c:v>
                </c:pt>
                <c:pt idx="1">
                  <c:v>95000</c:v>
                </c:pt>
                <c:pt idx="2">
                  <c:v>130000</c:v>
                </c:pt>
                <c:pt idx="3">
                  <c:v>170000</c:v>
                </c:pt>
                <c:pt idx="4">
                  <c:v>220000</c:v>
                </c:pt>
                <c:pt idx="5">
                  <c:v>260000</c:v>
                </c:pt>
                <c:pt idx="6">
                  <c:v>300000</c:v>
                </c:pt>
                <c:pt idx="7">
                  <c:v>340000</c:v>
                </c:pt>
                <c:pt idx="8">
                  <c:v>390000</c:v>
                </c:pt>
                <c:pt idx="9">
                  <c:v>430000</c:v>
                </c:pt>
              </c:numCache>
            </c:numRef>
          </c:val>
        </c:ser>
        <c:dLbls>
          <c:showLegendKey val="0"/>
          <c:showVal val="0"/>
          <c:showCatName val="0"/>
          <c:showSerName val="0"/>
          <c:showPercent val="0"/>
          <c:showBubbleSize val="0"/>
        </c:dLbls>
        <c:gapWidth val="150"/>
        <c:axId val="386735120"/>
        <c:axId val="386733488"/>
      </c:barChart>
      <c:catAx>
        <c:axId val="3867351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733488"/>
        <c:crosses val="autoZero"/>
        <c:auto val="1"/>
        <c:lblAlgn val="ctr"/>
        <c:lblOffset val="100"/>
        <c:noMultiLvlLbl val="0"/>
      </c:catAx>
      <c:valAx>
        <c:axId val="386733488"/>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73512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Pipeline Value Trend</a:t>
            </a:r>
          </a:p>
        </c:rich>
      </c:tx>
      <c:overlay val="0"/>
      <c:spPr>
        <a:noFill/>
        <a:ln w="0">
          <a:noFill/>
        </a:ln>
      </c:spPr>
    </c:title>
    <c:autoTitleDeleted val="0"/>
    <c:plotArea>
      <c:layout/>
      <c:lineChart>
        <c:grouping val="standard"/>
        <c:varyColors val="0"/>
        <c:ser>
          <c:idx val="0"/>
          <c:order val="0"/>
          <c:spPr>
            <a:ln w="28080">
              <a:solidFill>
                <a:srgbClr val="2563E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Forecast!$A$2:$A$11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Forecast!$B$2:$B$11</c:f>
              <c:numCache>
                <c:formatCode>General</c:formatCode>
                <c:ptCount val="10"/>
                <c:pt idx="0">
                  <c:v>200000</c:v>
                </c:pt>
                <c:pt idx="1">
                  <c:v>320000</c:v>
                </c:pt>
                <c:pt idx="2">
                  <c:v>410000</c:v>
                </c:pt>
                <c:pt idx="3">
                  <c:v>500000</c:v>
                </c:pt>
                <c:pt idx="4">
                  <c:v>620000</c:v>
                </c:pt>
                <c:pt idx="5">
                  <c:v>700000</c:v>
                </c:pt>
                <c:pt idx="6">
                  <c:v>810000</c:v>
                </c:pt>
                <c:pt idx="7">
                  <c:v>890000</c:v>
                </c:pt>
                <c:pt idx="8">
                  <c:v>970000</c:v>
                </c:pt>
                <c:pt idx="9">
                  <c:v>1050000</c:v>
                </c:pt>
              </c:numCache>
            </c:numRef>
          </c:val>
          <c:smooth val="1"/>
        </c:ser>
        <c:dLbls>
          <c:showLegendKey val="0"/>
          <c:showVal val="0"/>
          <c:showCatName val="0"/>
          <c:showSerName val="0"/>
          <c:showPercent val="0"/>
          <c:showBubbleSize val="0"/>
        </c:dLbls>
        <c:hiLowLines>
          <c:spPr>
            <a:ln w="0">
              <a:noFill/>
            </a:ln>
          </c:spPr>
        </c:hiLowLines>
        <c:smooth val="0"/>
        <c:axId val="386736208"/>
        <c:axId val="386737840"/>
      </c:lineChart>
      <c:catAx>
        <c:axId val="3867362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737840"/>
        <c:crosses val="autoZero"/>
        <c:auto val="1"/>
        <c:lblAlgn val="ctr"/>
        <c:lblOffset val="100"/>
        <c:noMultiLvlLbl val="0"/>
      </c:catAx>
      <c:valAx>
        <c:axId val="38673784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73620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Pipeline Value by Region (₹)</a:t>
            </a:r>
          </a:p>
        </c:rich>
      </c:tx>
      <c:overlay val="0"/>
      <c:spPr>
        <a:noFill/>
        <a:ln w="0">
          <a:noFill/>
        </a:ln>
      </c:spPr>
    </c:title>
    <c:autoTitleDeleted val="0"/>
    <c:plotArea>
      <c:layout/>
      <c:barChart>
        <c:barDir val="bar"/>
        <c:grouping val="clustered"/>
        <c:varyColors val="0"/>
        <c:ser>
          <c:idx val="0"/>
          <c:order val="0"/>
          <c:spPr>
            <a:solidFill>
              <a:srgbClr val="4F81BD"/>
            </a:solidFill>
            <a:ln w="9360">
              <a:solidFill>
                <a:srgbClr val="F9F9F9"/>
              </a:solidFill>
              <a:round/>
            </a:ln>
          </c:spPr>
          <c:invertIfNegative val="0"/>
          <c:dPt>
            <c:idx val="0"/>
            <c:invertIfNegative val="0"/>
            <c:bubble3D val="0"/>
            <c:spPr>
              <a:solidFill>
                <a:srgbClr val="2563EB"/>
              </a:solidFill>
              <a:ln w="9360">
                <a:solidFill>
                  <a:srgbClr val="F9F9F9"/>
                </a:solidFill>
                <a:round/>
              </a:ln>
            </c:spPr>
          </c:dPt>
          <c:dPt>
            <c:idx val="1"/>
            <c:invertIfNegative val="0"/>
            <c:bubble3D val="0"/>
            <c:spPr>
              <a:solidFill>
                <a:srgbClr val="0891B2"/>
              </a:solidFill>
              <a:ln w="9360">
                <a:solidFill>
                  <a:srgbClr val="F9F9F9"/>
                </a:solidFill>
                <a:round/>
              </a:ln>
            </c:spPr>
          </c:dPt>
          <c:dPt>
            <c:idx val="2"/>
            <c:invertIfNegative val="0"/>
            <c:bubble3D val="0"/>
            <c:spPr>
              <a:solidFill>
                <a:srgbClr val="E11D48"/>
              </a:solidFill>
              <a:ln w="9360">
                <a:solidFill>
                  <a:srgbClr val="F9F9F9"/>
                </a:solidFill>
                <a:round/>
              </a:ln>
            </c:spPr>
          </c:dPt>
          <c:dPt>
            <c:idx val="3"/>
            <c:invertIfNegative val="0"/>
            <c:bubble3D val="0"/>
            <c:spPr>
              <a:solidFill>
                <a:srgbClr val="D97706"/>
              </a:solidFill>
              <a:ln w="9360">
                <a:solidFill>
                  <a:srgbClr val="F9F9F9"/>
                </a:solidFill>
                <a:round/>
              </a:ln>
            </c:spPr>
          </c:dPt>
          <c:dLbls>
            <c:dLbl>
              <c:idx val="0"/>
              <c:spPr/>
              <c:txPr>
                <a:bodyPr wrap="none"/>
                <a:lstStyle/>
                <a:p>
                  <a:pPr>
                    <a:defRPr sz="1000" b="0" strike="noStrike" spc="-1">
                      <a:latin typeface="Arial"/>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dLbl>
              <c:idx val="1"/>
              <c:spPr/>
              <c:txPr>
                <a:bodyPr wrap="none"/>
                <a:lstStyle/>
                <a:p>
                  <a:pPr>
                    <a:defRPr sz="1000" b="0" strike="noStrike" spc="-1">
                      <a:latin typeface="Arial"/>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dLbl>
              <c:idx val="2"/>
              <c:spPr/>
              <c:txPr>
                <a:bodyPr wrap="none"/>
                <a:lstStyle/>
                <a:p>
                  <a:pPr>
                    <a:defRPr sz="1000" b="0" strike="noStrike" spc="-1">
                      <a:latin typeface="Arial"/>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dLbl>
              <c:idx val="3"/>
              <c:spPr/>
              <c:txPr>
                <a:bodyPr wrap="none"/>
                <a:lstStyle/>
                <a:p>
                  <a:pPr>
                    <a:defRPr sz="1000" b="0" strike="noStrike" spc="-1">
                      <a:latin typeface="Arial"/>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spPr>
              <a:noFill/>
              <a:ln>
                <a:noFill/>
              </a:ln>
              <a:effectLst/>
            </c:spPr>
            <c:txPr>
              <a:bodyPr wrap="none"/>
              <a:lstStyle/>
              <a:p>
                <a:pPr>
                  <a:defRPr sz="1000" b="0" strike="noStrike" spc="-1">
                    <a:latin typeface="Arial"/>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_AggData!$N$2:$N$5</c:f>
              <c:strCache>
                <c:ptCount val="4"/>
                <c:pt idx="0">
                  <c:v>North</c:v>
                </c:pt>
                <c:pt idx="1">
                  <c:v>South</c:v>
                </c:pt>
                <c:pt idx="2">
                  <c:v>East</c:v>
                </c:pt>
                <c:pt idx="3">
                  <c:v>West</c:v>
                </c:pt>
              </c:strCache>
            </c:strRef>
          </c:cat>
          <c:val>
            <c:numRef>
              <c:f>_AggData!$O$2:$O$5</c:f>
              <c:numCache>
                <c:formatCode>General</c:formatCode>
                <c:ptCount val="4"/>
                <c:pt idx="0">
                  <c:v>24300000</c:v>
                </c:pt>
                <c:pt idx="1">
                  <c:v>19800000</c:v>
                </c:pt>
                <c:pt idx="2">
                  <c:v>18400000</c:v>
                </c:pt>
                <c:pt idx="3">
                  <c:v>34200000</c:v>
                </c:pt>
              </c:numCache>
            </c:numRef>
          </c:val>
        </c:ser>
        <c:dLbls>
          <c:showLegendKey val="0"/>
          <c:showVal val="0"/>
          <c:showCatName val="0"/>
          <c:showSerName val="0"/>
          <c:showPercent val="0"/>
          <c:showBubbleSize val="0"/>
        </c:dLbls>
        <c:gapWidth val="150"/>
        <c:axId val="387172800"/>
        <c:axId val="387173888"/>
      </c:barChart>
      <c:catAx>
        <c:axId val="38717280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7173888"/>
        <c:crosses val="autoZero"/>
        <c:auto val="1"/>
        <c:lblAlgn val="ctr"/>
        <c:lblOffset val="100"/>
        <c:noMultiLvlLbl val="0"/>
      </c:catAx>
      <c:valAx>
        <c:axId val="3871738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717280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Opportunity Count by Region</a:t>
            </a:r>
          </a:p>
        </c:rich>
      </c:tx>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Pt>
            <c:idx val="0"/>
            <c:invertIfNegative val="0"/>
            <c:bubble3D val="0"/>
            <c:spPr>
              <a:solidFill>
                <a:srgbClr val="2563EB"/>
              </a:solidFill>
              <a:ln w="9360">
                <a:solidFill>
                  <a:srgbClr val="F9F9F9"/>
                </a:solidFill>
                <a:round/>
              </a:ln>
            </c:spPr>
          </c:dPt>
          <c:dPt>
            <c:idx val="1"/>
            <c:invertIfNegative val="0"/>
            <c:bubble3D val="0"/>
            <c:spPr>
              <a:solidFill>
                <a:srgbClr val="0891B2"/>
              </a:solidFill>
              <a:ln w="9360">
                <a:solidFill>
                  <a:srgbClr val="F9F9F9"/>
                </a:solidFill>
                <a:round/>
              </a:ln>
            </c:spPr>
          </c:dPt>
          <c:dPt>
            <c:idx val="2"/>
            <c:invertIfNegative val="0"/>
            <c:bubble3D val="0"/>
            <c:spPr>
              <a:solidFill>
                <a:srgbClr val="E11D48"/>
              </a:solidFill>
              <a:ln w="9360">
                <a:solidFill>
                  <a:srgbClr val="F9F9F9"/>
                </a:solidFill>
                <a:round/>
              </a:ln>
            </c:spPr>
          </c:dPt>
          <c:dPt>
            <c:idx val="3"/>
            <c:invertIfNegative val="0"/>
            <c:bubble3D val="0"/>
            <c:spPr>
              <a:solidFill>
                <a:srgbClr val="D97706"/>
              </a:solidFill>
              <a:ln w="9360">
                <a:solidFill>
                  <a:srgbClr val="F9F9F9"/>
                </a:solidFill>
                <a:round/>
              </a:ln>
            </c:spPr>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_AggData!$N$2:$N$5</c:f>
              <c:strCache>
                <c:ptCount val="4"/>
                <c:pt idx="0">
                  <c:v>North</c:v>
                </c:pt>
                <c:pt idx="1">
                  <c:v>South</c:v>
                </c:pt>
                <c:pt idx="2">
                  <c:v>East</c:v>
                </c:pt>
                <c:pt idx="3">
                  <c:v>West</c:v>
                </c:pt>
              </c:strCache>
            </c:strRef>
          </c:cat>
          <c:val>
            <c:numRef>
              <c:f>_AggData!$P$2:$P$5</c:f>
              <c:numCache>
                <c:formatCode>General</c:formatCode>
                <c:ptCount val="4"/>
                <c:pt idx="0">
                  <c:v>118</c:v>
                </c:pt>
                <c:pt idx="1">
                  <c:v>52</c:v>
                </c:pt>
                <c:pt idx="2">
                  <c:v>53</c:v>
                </c:pt>
                <c:pt idx="3">
                  <c:v>83</c:v>
                </c:pt>
              </c:numCache>
            </c:numRef>
          </c:val>
        </c:ser>
        <c:dLbls>
          <c:showLegendKey val="0"/>
          <c:showVal val="0"/>
          <c:showCatName val="0"/>
          <c:showSerName val="0"/>
          <c:showPercent val="0"/>
          <c:showBubbleSize val="0"/>
        </c:dLbls>
        <c:gapWidth val="150"/>
        <c:axId val="387169536"/>
        <c:axId val="387174976"/>
      </c:barChart>
      <c:catAx>
        <c:axId val="38716953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7174976"/>
        <c:crosses val="autoZero"/>
        <c:auto val="1"/>
        <c:lblAlgn val="ctr"/>
        <c:lblOffset val="100"/>
        <c:noMultiLvlLbl val="0"/>
      </c:catAx>
      <c:valAx>
        <c:axId val="38717497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716953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Contact vs Pipeline Value (₹)</a:t>
            </a:r>
          </a:p>
        </c:rich>
      </c:tx>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Pt>
            <c:idx val="0"/>
            <c:invertIfNegative val="0"/>
            <c:bubble3D val="0"/>
            <c:spPr>
              <a:solidFill>
                <a:srgbClr val="2563EB"/>
              </a:solidFill>
              <a:ln w="9360">
                <a:solidFill>
                  <a:srgbClr val="F9F9F9"/>
                </a:solidFill>
                <a:round/>
              </a:ln>
            </c:spPr>
          </c:dPt>
          <c:dPt>
            <c:idx val="1"/>
            <c:invertIfNegative val="0"/>
            <c:bubble3D val="0"/>
            <c:spPr>
              <a:solidFill>
                <a:srgbClr val="0891B2"/>
              </a:solidFill>
              <a:ln w="9360">
                <a:solidFill>
                  <a:srgbClr val="F9F9F9"/>
                </a:solidFill>
                <a:round/>
              </a:ln>
            </c:spPr>
          </c:dPt>
          <c:dPt>
            <c:idx val="2"/>
            <c:invertIfNegative val="0"/>
            <c:bubble3D val="0"/>
            <c:spPr>
              <a:solidFill>
                <a:srgbClr val="E11D48"/>
              </a:solidFill>
              <a:ln w="9360">
                <a:solidFill>
                  <a:srgbClr val="F9F9F9"/>
                </a:solidFill>
                <a:round/>
              </a:ln>
            </c:spPr>
          </c:dPt>
          <c:dPt>
            <c:idx val="3"/>
            <c:invertIfNegative val="0"/>
            <c:bubble3D val="0"/>
            <c:spPr>
              <a:solidFill>
                <a:srgbClr val="D97706"/>
              </a:solidFill>
              <a:ln w="9360">
                <a:solidFill>
                  <a:srgbClr val="F9F9F9"/>
                </a:solidFill>
                <a:round/>
              </a:ln>
            </c:spPr>
          </c:dPt>
          <c:dPt>
            <c:idx val="4"/>
            <c:invertIfNegative val="0"/>
            <c:bubble3D val="0"/>
            <c:spPr>
              <a:solidFill>
                <a:srgbClr val="059669"/>
              </a:solidFill>
              <a:ln w="9360">
                <a:solidFill>
                  <a:srgbClr val="F9F9F9"/>
                </a:solidFill>
                <a:round/>
              </a:ln>
            </c:spPr>
          </c:dPt>
          <c:dPt>
            <c:idx val="5"/>
            <c:invertIfNegative val="0"/>
            <c:bubble3D val="0"/>
            <c:spPr>
              <a:solidFill>
                <a:srgbClr val="7C3AED"/>
              </a:solidFill>
              <a:ln w="9360">
                <a:solidFill>
                  <a:srgbClr val="F9F9F9"/>
                </a:solidFill>
                <a:round/>
              </a:ln>
            </c:spPr>
          </c:dPt>
          <c:dPt>
            <c:idx val="6"/>
            <c:invertIfNegative val="0"/>
            <c:bubble3D val="0"/>
            <c:spPr>
              <a:solidFill>
                <a:srgbClr val="0F766E"/>
              </a:solidFill>
              <a:ln w="9360">
                <a:solidFill>
                  <a:srgbClr val="F9F9F9"/>
                </a:solidFill>
                <a:round/>
              </a:ln>
            </c:spPr>
          </c:dPt>
          <c:dPt>
            <c:idx val="7"/>
            <c:invertIfNegative val="0"/>
            <c:bubble3D val="0"/>
            <c:spPr>
              <a:solidFill>
                <a:srgbClr val="B45309"/>
              </a:solidFill>
              <a:ln w="9360">
                <a:solidFill>
                  <a:srgbClr val="F9F9F9"/>
                </a:solidFill>
                <a:round/>
              </a:ln>
            </c:spPr>
          </c:dPt>
          <c:dPt>
            <c:idx val="8"/>
            <c:invertIfNegative val="0"/>
            <c:bubble3D val="0"/>
            <c:spPr>
              <a:solidFill>
                <a:srgbClr val="BE185D"/>
              </a:solidFill>
              <a:ln w="9360">
                <a:solidFill>
                  <a:srgbClr val="F9F9F9"/>
                </a:solidFill>
                <a:round/>
              </a:ln>
            </c:spPr>
          </c:dPt>
          <c:dPt>
            <c:idx val="9"/>
            <c:invertIfNegative val="0"/>
            <c:bubble3D val="0"/>
            <c:spPr>
              <a:solidFill>
                <a:srgbClr val="1D4ED8"/>
              </a:solidFill>
              <a:ln w="9360">
                <a:solidFill>
                  <a:srgbClr val="F9F9F9"/>
                </a:solidFill>
                <a:round/>
              </a:ln>
            </c:spPr>
          </c:dPt>
          <c:dPt>
            <c:idx val="10"/>
            <c:invertIfNegative val="0"/>
            <c:bubble3D val="0"/>
            <c:spPr>
              <a:solidFill>
                <a:srgbClr val="065F46"/>
              </a:solidFill>
              <a:ln w="9360">
                <a:solidFill>
                  <a:srgbClr val="F9F9F9"/>
                </a:solidFill>
                <a:round/>
              </a:ln>
            </c:spPr>
          </c:dPt>
          <c:dPt>
            <c:idx val="11"/>
            <c:invertIfNegative val="0"/>
            <c:bubble3D val="0"/>
            <c:spPr>
              <a:solidFill>
                <a:srgbClr val="92400E"/>
              </a:solidFill>
              <a:ln w="9360">
                <a:solidFill>
                  <a:srgbClr val="F9F9F9"/>
                </a:solidFill>
                <a:round/>
              </a:ln>
            </c:spPr>
          </c:dPt>
          <c:dPt>
            <c:idx val="12"/>
            <c:invertIfNegative val="0"/>
            <c:bubble3D val="0"/>
            <c:spPr>
              <a:solidFill>
                <a:srgbClr val="2563EB"/>
              </a:solidFill>
              <a:ln w="9360">
                <a:solidFill>
                  <a:srgbClr val="F9F9F9"/>
                </a:solidFill>
                <a:round/>
              </a:ln>
            </c:spPr>
          </c:dPt>
          <c:dPt>
            <c:idx val="13"/>
            <c:invertIfNegative val="0"/>
            <c:bubble3D val="0"/>
            <c:spPr>
              <a:solidFill>
                <a:srgbClr val="0891B2"/>
              </a:solidFill>
              <a:ln w="9360">
                <a:solidFill>
                  <a:srgbClr val="F9F9F9"/>
                </a:solidFill>
                <a:round/>
              </a:ln>
            </c:spPr>
          </c:dPt>
          <c:dPt>
            <c:idx val="14"/>
            <c:invertIfNegative val="0"/>
            <c:bubble3D val="0"/>
            <c:spPr>
              <a:solidFill>
                <a:srgbClr val="E11D48"/>
              </a:solidFill>
              <a:ln w="9360">
                <a:solidFill>
                  <a:srgbClr val="F9F9F9"/>
                </a:solidFill>
                <a:round/>
              </a:ln>
            </c:spPr>
          </c:dPt>
          <c:dPt>
            <c:idx val="15"/>
            <c:invertIfNegative val="0"/>
            <c:bubble3D val="0"/>
            <c:spPr>
              <a:solidFill>
                <a:srgbClr val="D97706"/>
              </a:solidFill>
              <a:ln w="9360">
                <a:solidFill>
                  <a:srgbClr val="F9F9F9"/>
                </a:solidFill>
                <a:round/>
              </a:ln>
            </c:spPr>
          </c:dPt>
          <c:dPt>
            <c:idx val="16"/>
            <c:invertIfNegative val="0"/>
            <c:bubble3D val="0"/>
            <c:spPr>
              <a:solidFill>
                <a:srgbClr val="059669"/>
              </a:solidFill>
              <a:ln w="9360">
                <a:solidFill>
                  <a:srgbClr val="F9F9F9"/>
                </a:solidFill>
                <a:round/>
              </a:ln>
            </c:spPr>
          </c:dPt>
          <c:dPt>
            <c:idx val="17"/>
            <c:invertIfNegative val="0"/>
            <c:bubble3D val="0"/>
            <c:spPr>
              <a:solidFill>
                <a:srgbClr val="7C3AED"/>
              </a:solidFill>
              <a:ln w="9360">
                <a:solidFill>
                  <a:srgbClr val="F9F9F9"/>
                </a:solidFill>
                <a:round/>
              </a:ln>
            </c:spPr>
          </c:dPt>
          <c:dPt>
            <c:idx val="18"/>
            <c:invertIfNegative val="0"/>
            <c:bubble3D val="0"/>
            <c:spPr>
              <a:solidFill>
                <a:srgbClr val="0F766E"/>
              </a:solidFill>
              <a:ln w="9360">
                <a:solidFill>
                  <a:srgbClr val="F9F9F9"/>
                </a:solidFill>
                <a:round/>
              </a:ln>
            </c:spPr>
          </c:dPt>
          <c:dPt>
            <c:idx val="19"/>
            <c:invertIfNegative val="0"/>
            <c:bubble3D val="0"/>
            <c:spPr>
              <a:solidFill>
                <a:srgbClr val="B45309"/>
              </a:solidFill>
              <a:ln w="9360">
                <a:solidFill>
                  <a:srgbClr val="F9F9F9"/>
                </a:solidFill>
                <a:round/>
              </a:ln>
            </c:spPr>
          </c:dPt>
          <c:cat>
            <c:strRef>
              <c:f>Partners!$C$2:$C$21</c:f>
              <c:strCache>
                <c:ptCount val="20"/>
                <c:pt idx="0">
                  <c:v>Raj Sharma</c:v>
                </c:pt>
                <c:pt idx="1">
                  <c:v>Amit Patel</c:v>
                </c:pt>
                <c:pt idx="2">
                  <c:v>Priya Nair</c:v>
                </c:pt>
                <c:pt idx="3">
                  <c:v>Sandeep Roy</c:v>
                </c:pt>
                <c:pt idx="4">
                  <c:v>Mohit Verma</c:v>
                </c:pt>
                <c:pt idx="5">
                  <c:v>Kunal Shah</c:v>
                </c:pt>
                <c:pt idx="6">
                  <c:v>Akash Reddy</c:v>
                </c:pt>
                <c:pt idx="7">
                  <c:v>Ankit Das</c:v>
                </c:pt>
                <c:pt idx="8">
                  <c:v>Rohit Gupta</c:v>
                </c:pt>
                <c:pt idx="9">
                  <c:v>Vivek Mehta</c:v>
                </c:pt>
                <c:pt idx="10">
                  <c:v>Deepak Kumar</c:v>
                </c:pt>
                <c:pt idx="11">
                  <c:v>Arjun Sen</c:v>
                </c:pt>
                <c:pt idx="12">
                  <c:v>Nitin Jain</c:v>
                </c:pt>
                <c:pt idx="13">
                  <c:v>Pankaj Singh</c:v>
                </c:pt>
                <c:pt idx="14">
                  <c:v>Rahul Menon</c:v>
                </c:pt>
                <c:pt idx="15">
                  <c:v>Abhishek Ghosh</c:v>
                </c:pt>
                <c:pt idx="16">
                  <c:v>Manish Arora</c:v>
                </c:pt>
                <c:pt idx="17">
                  <c:v>Neeraj Bansal</c:v>
                </c:pt>
                <c:pt idx="18">
                  <c:v>Harish Iyer</c:v>
                </c:pt>
                <c:pt idx="19">
                  <c:v>Sumit Dutta</c:v>
                </c:pt>
              </c:strCache>
            </c:strRef>
          </c:cat>
          <c:val>
            <c:numRef>
              <c:f>Partners!$E$2:$E$21</c:f>
              <c:numCache>
                <c:formatCode>General</c:formatCode>
                <c:ptCount val="20"/>
                <c:pt idx="0">
                  <c:v>4500000</c:v>
                </c:pt>
                <c:pt idx="1">
                  <c:v>7200000</c:v>
                </c:pt>
                <c:pt idx="2">
                  <c:v>3800000</c:v>
                </c:pt>
                <c:pt idx="3">
                  <c:v>1800000</c:v>
                </c:pt>
                <c:pt idx="4">
                  <c:v>5500000</c:v>
                </c:pt>
                <c:pt idx="5">
                  <c:v>8500000</c:v>
                </c:pt>
                <c:pt idx="6">
                  <c:v>2900000</c:v>
                </c:pt>
                <c:pt idx="7">
                  <c:v>3400000</c:v>
                </c:pt>
                <c:pt idx="8">
                  <c:v>6200000</c:v>
                </c:pt>
                <c:pt idx="9">
                  <c:v>2100000</c:v>
                </c:pt>
                <c:pt idx="10">
                  <c:v>6800000</c:v>
                </c:pt>
                <c:pt idx="11">
                  <c:v>2500000</c:v>
                </c:pt>
                <c:pt idx="12">
                  <c:v>4900000</c:v>
                </c:pt>
                <c:pt idx="13">
                  <c:v>7300000</c:v>
                </c:pt>
                <c:pt idx="14">
                  <c:v>1600000</c:v>
                </c:pt>
                <c:pt idx="15">
                  <c:v>7900000</c:v>
                </c:pt>
                <c:pt idx="16">
                  <c:v>3200000</c:v>
                </c:pt>
                <c:pt idx="17">
                  <c:v>9100000</c:v>
                </c:pt>
                <c:pt idx="18">
                  <c:v>4700000</c:v>
                </c:pt>
                <c:pt idx="19">
                  <c:v>2800000</c:v>
                </c:pt>
              </c:numCache>
            </c:numRef>
          </c:val>
        </c:ser>
        <c:dLbls>
          <c:showLegendKey val="0"/>
          <c:showVal val="0"/>
          <c:showCatName val="0"/>
          <c:showSerName val="0"/>
          <c:showPercent val="0"/>
          <c:showBubbleSize val="0"/>
        </c:dLbls>
        <c:gapWidth val="150"/>
        <c:axId val="387176064"/>
        <c:axId val="387176608"/>
      </c:barChart>
      <c:catAx>
        <c:axId val="3871760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7176608"/>
        <c:crosses val="autoZero"/>
        <c:auto val="1"/>
        <c:lblAlgn val="ctr"/>
        <c:lblOffset val="100"/>
        <c:noMultiLvlLbl val="0"/>
      </c:catAx>
      <c:valAx>
        <c:axId val="387176608"/>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717606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Partner Status Distribution</a:t>
            </a:r>
          </a:p>
        </c:rich>
      </c:tx>
      <c:overlay val="0"/>
      <c:spPr>
        <a:noFill/>
        <a:ln w="0">
          <a:noFill/>
        </a:ln>
      </c:spPr>
    </c:title>
    <c:autoTitleDeleted val="0"/>
    <c:plotArea>
      <c:layout/>
      <c:pieChart>
        <c:varyColors val="1"/>
        <c:ser>
          <c:idx val="0"/>
          <c:order val="0"/>
          <c:spPr>
            <a:solidFill>
              <a:srgbClr val="4F81BD"/>
            </a:solidFill>
            <a:ln w="9360">
              <a:solidFill>
                <a:srgbClr val="F9F9F9"/>
              </a:solidFill>
              <a:round/>
            </a:ln>
          </c:spPr>
          <c:dPt>
            <c:idx val="0"/>
            <c:bubble3D val="0"/>
            <c:spPr>
              <a:solidFill>
                <a:srgbClr val="2563EB"/>
              </a:solidFill>
              <a:ln w="9360">
                <a:solidFill>
                  <a:srgbClr val="F9F9F9"/>
                </a:solidFill>
                <a:round/>
              </a:ln>
            </c:spPr>
          </c:dPt>
          <c:dPt>
            <c:idx val="1"/>
            <c:bubble3D val="0"/>
            <c:spPr>
              <a:solidFill>
                <a:srgbClr val="0891B2"/>
              </a:solidFill>
              <a:ln w="9360">
                <a:solidFill>
                  <a:srgbClr val="F9F9F9"/>
                </a:solidFill>
                <a:round/>
              </a:ln>
            </c:spPr>
          </c:dPt>
          <c:dPt>
            <c:idx val="2"/>
            <c:bubble3D val="0"/>
            <c:spPr>
              <a:solidFill>
                <a:srgbClr val="E11D48"/>
              </a:solidFill>
              <a:ln w="9360">
                <a:solidFill>
                  <a:srgbClr val="F9F9F9"/>
                </a:solidFill>
                <a:round/>
              </a:ln>
            </c:spPr>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extLst>
                <c:ext xmlns:c15="http://schemas.microsoft.com/office/drawing/2012/chart" uri="{CE6537A1-D6FC-4f65-9D91-7224C49458BB}"/>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extLst>
                <c:ext xmlns:c15="http://schemas.microsoft.com/office/drawing/2012/chart" uri="{CE6537A1-D6FC-4f65-9D91-7224C49458BB}"/>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extLst>
                <c:ext xmlns:c15="http://schemas.microsoft.com/office/drawing/2012/chart" uri="{CE6537A1-D6FC-4f65-9D91-7224C49458BB}"/>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separator>; </c:separator>
            <c:showLeaderLines val="1"/>
            <c:extLst>
              <c:ext xmlns:c15="http://schemas.microsoft.com/office/drawing/2012/chart" uri="{CE6537A1-D6FC-4f65-9D91-7224C49458BB}"/>
            </c:extLst>
          </c:dLbls>
          <c:cat>
            <c:strRef>
              <c:f>_AggData!$R$2:$R$4</c:f>
              <c:strCache>
                <c:ptCount val="3"/>
                <c:pt idx="0">
                  <c:v>Active</c:v>
                </c:pt>
                <c:pt idx="1">
                  <c:v>Inactive</c:v>
                </c:pt>
                <c:pt idx="2">
                  <c:v>Prospect</c:v>
                </c:pt>
              </c:strCache>
            </c:strRef>
          </c:cat>
          <c:val>
            <c:numRef>
              <c:f>_AggData!$S$2:$S$4</c:f>
              <c:numCache>
                <c:formatCode>General</c:formatCode>
                <c:ptCount val="3"/>
                <c:pt idx="0">
                  <c:v>14</c:v>
                </c:pt>
                <c:pt idx="1">
                  <c:v>3</c:v>
                </c:pt>
                <c:pt idx="2">
                  <c:v>3</c:v>
                </c:pt>
              </c:numCache>
            </c:numRef>
          </c:val>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Key Business Metrics (₹)</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spPr>
            <a:solidFill>
              <a:schemeClr val="accent1">
                <a:alpha val="70000"/>
              </a:schemeClr>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_AggData!$U$2:$U$6</c:f>
              <c:strCache>
                <c:ptCount val="5"/>
                <c:pt idx="0">
                  <c:v>Total Pipeline</c:v>
                </c:pt>
                <c:pt idx="1">
                  <c:v>Weighted Pipeline</c:v>
                </c:pt>
                <c:pt idx="2">
                  <c:v>Closed Won</c:v>
                </c:pt>
                <c:pt idx="3">
                  <c:v>Open Deals Value</c:v>
                </c:pt>
                <c:pt idx="4">
                  <c:v>Total Forecast</c:v>
                </c:pt>
              </c:strCache>
            </c:strRef>
          </c:cat>
          <c:val>
            <c:numRef>
              <c:f>_AggData!$V$2:$V$6</c:f>
              <c:numCache>
                <c:formatCode>General</c:formatCode>
                <c:ptCount val="5"/>
                <c:pt idx="0">
                  <c:v>12615000</c:v>
                </c:pt>
                <c:pt idx="1">
                  <c:v>8600024</c:v>
                </c:pt>
                <c:pt idx="2">
                  <c:v>935000</c:v>
                </c:pt>
                <c:pt idx="3">
                  <c:v>1680000</c:v>
                </c:pt>
                <c:pt idx="4">
                  <c:v>6470000</c:v>
                </c:pt>
              </c:numCache>
            </c:numRef>
          </c:val>
        </c:ser>
        <c:dLbls>
          <c:showLegendKey val="0"/>
          <c:showVal val="0"/>
          <c:showCatName val="0"/>
          <c:showSerName val="0"/>
          <c:showPercent val="0"/>
          <c:showBubbleSize val="0"/>
        </c:dLbls>
        <c:gapWidth val="80"/>
        <c:overlap val="25"/>
        <c:axId val="402589712"/>
        <c:axId val="402589168"/>
      </c:barChart>
      <c:catAx>
        <c:axId val="40258971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02589168"/>
        <c:crosses val="autoZero"/>
        <c:auto val="1"/>
        <c:lblAlgn val="ctr"/>
        <c:lblOffset val="100"/>
        <c:noMultiLvlLbl val="0"/>
      </c:catAx>
      <c:valAx>
        <c:axId val="40258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02589712"/>
        <c:crosses val="autoZero"/>
        <c:crossBetween val="between"/>
      </c:valAx>
      <c:spPr>
        <a:noFill/>
        <a:ln>
          <a:noFill/>
        </a:ln>
        <a:effectLst/>
      </c:spPr>
    </c:plotArea>
    <c:plotVisOnly val="1"/>
    <c:dispBlanksAs val="gap"/>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[Demo.xlsx]Pivot!PivotTable5</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Pivot!$A$3:$A$5</c:f>
              <c:strCache>
                <c:ptCount val="2"/>
                <c:pt idx="0">
                  <c:v>India</c:v>
                </c:pt>
                <c:pt idx="1">
                  <c:v>UK</c:v>
                </c:pt>
              </c:strCache>
            </c:strRef>
          </c:cat>
          <c:val>
            <c:numRef>
              <c:f>Pivot!$B$3:$B$5</c:f>
              <c:numCache>
                <c:formatCode>General</c:formatCode>
                <c:ptCount val="2"/>
                <c:pt idx="0">
                  <c:v>310000</c:v>
                </c:pt>
                <c:pt idx="1">
                  <c:v>390000</c:v>
                </c:pt>
              </c:numCache>
            </c:numRef>
          </c:val>
        </c:ser>
        <c:dLbls>
          <c:showLegendKey val="0"/>
          <c:showVal val="0"/>
          <c:showCatName val="0"/>
          <c:showSerName val="0"/>
          <c:showPercent val="0"/>
          <c:showBubbleSize val="0"/>
        </c:dLbls>
        <c:gapWidth val="219"/>
        <c:overlap val="-27"/>
        <c:axId val="382653712"/>
        <c:axId val="382654256"/>
      </c:barChart>
      <c:catAx>
        <c:axId val="38265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54256"/>
        <c:crosses val="autoZero"/>
        <c:auto val="1"/>
        <c:lblAlgn val="ctr"/>
        <c:lblOffset val="100"/>
        <c:noMultiLvlLbl val="0"/>
      </c:catAx>
      <c:valAx>
        <c:axId val="382654256"/>
        <c:scaling>
          <c:orientation val="minMax"/>
        </c:scaling>
        <c:delete val="1"/>
        <c:axPos val="l"/>
        <c:numFmt formatCode="General" sourceLinked="1"/>
        <c:majorTickMark val="none"/>
        <c:minorTickMark val="none"/>
        <c:tickLblPos val="nextTo"/>
        <c:crossAx val="382653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[Demo.xlsx]Pivot!PivotTable6</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Pivot!$A$11:$A$13</c:f>
              <c:strCache>
                <c:ptCount val="2"/>
                <c:pt idx="0">
                  <c:v>Emma B</c:v>
                </c:pt>
                <c:pt idx="1">
                  <c:v>Priya S</c:v>
                </c:pt>
              </c:strCache>
            </c:strRef>
          </c:cat>
          <c:val>
            <c:numRef>
              <c:f>Pivot!$B$11:$B$13</c:f>
              <c:numCache>
                <c:formatCode>General</c:formatCode>
                <c:ptCount val="2"/>
                <c:pt idx="0">
                  <c:v>390000</c:v>
                </c:pt>
                <c:pt idx="1">
                  <c:v>310000</c:v>
                </c:pt>
              </c:numCache>
            </c:numRef>
          </c:val>
        </c:ser>
        <c:dLbls>
          <c:showLegendKey val="0"/>
          <c:showVal val="0"/>
          <c:showCatName val="0"/>
          <c:showSerName val="0"/>
          <c:showPercent val="0"/>
          <c:showBubbleSize val="0"/>
        </c:dLbls>
        <c:gapWidth val="219"/>
        <c:overlap val="-27"/>
        <c:axId val="382655888"/>
        <c:axId val="385279104"/>
      </c:barChart>
      <c:catAx>
        <c:axId val="38265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79104"/>
        <c:crosses val="autoZero"/>
        <c:auto val="1"/>
        <c:lblAlgn val="ctr"/>
        <c:lblOffset val="100"/>
        <c:noMultiLvlLbl val="0"/>
      </c:catAx>
      <c:valAx>
        <c:axId val="385279104"/>
        <c:scaling>
          <c:orientation val="minMax"/>
        </c:scaling>
        <c:delete val="1"/>
        <c:axPos val="l"/>
        <c:numFmt formatCode="General" sourceLinked="1"/>
        <c:majorTickMark val="none"/>
        <c:minorTickMark val="none"/>
        <c:tickLblPos val="nextTo"/>
        <c:crossAx val="38265588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[Demo.xlsx]Pivot!PivotTable9</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cked"/>
        <c:varyColors val="0"/>
        <c:ser>
          <c:idx val="0"/>
          <c:order val="0"/>
          <c:tx>
            <c:strRef>
              <c:f>Pivot!$E$2:$E$3</c:f>
              <c:strCache>
                <c:ptCount val="1"/>
                <c:pt idx="0">
                  <c:v>Active</c:v>
                </c:pt>
              </c:strCache>
            </c:strRef>
          </c:tx>
          <c:spPr>
            <a:ln w="28575" cap="rnd">
              <a:solidFill>
                <a:schemeClr val="accent1"/>
              </a:solidFill>
              <a:round/>
            </a:ln>
            <a:effectLst/>
          </c:spPr>
          <c:marker>
            <c:symbol val="none"/>
          </c:marker>
          <c:cat>
            <c:strRef>
              <c:f>Pivot!$D$4:$D$24</c:f>
              <c:strCache>
                <c:ptCount val="20"/>
                <c:pt idx="0">
                  <c:v>CloudDefend Solutions</c:v>
                </c:pt>
                <c:pt idx="1">
                  <c:v>CyberGuard Systems</c:v>
                </c:pt>
                <c:pt idx="2">
                  <c:v>CyberMatrix Consulting</c:v>
                </c:pt>
                <c:pt idx="3">
                  <c:v>CyberSphere Partners</c:v>
                </c:pt>
                <c:pt idx="4">
                  <c:v>DataArmor Consulting</c:v>
                </c:pt>
                <c:pt idx="5">
                  <c:v>DataLock Technologies</c:v>
                </c:pt>
                <c:pt idx="6">
                  <c:v>DataShield Partners</c:v>
                </c:pt>
                <c:pt idx="7">
                  <c:v>DLP Experts Pvt Ltd</c:v>
                </c:pt>
                <c:pt idx="8">
                  <c:v>Fortress Cyber Systems</c:v>
                </c:pt>
                <c:pt idx="9">
                  <c:v>InfoProtect Technologies</c:v>
                </c:pt>
                <c:pt idx="10">
                  <c:v>InfoSec Associates</c:v>
                </c:pt>
                <c:pt idx="11">
                  <c:v>NetSecure Consulting</c:v>
                </c:pt>
                <c:pt idx="12">
                  <c:v>RiskShield Solutions</c:v>
                </c:pt>
                <c:pt idx="13">
                  <c:v>SafeNet Solutions</c:v>
                </c:pt>
                <c:pt idx="14">
                  <c:v>SecureLink Partners</c:v>
                </c:pt>
                <c:pt idx="15">
                  <c:v>SecureTech Solutions</c:v>
                </c:pt>
                <c:pt idx="16">
                  <c:v>SecureWave Technologies</c:v>
                </c:pt>
                <c:pt idx="17">
                  <c:v>Sentinel Technologies</c:v>
                </c:pt>
                <c:pt idx="18">
                  <c:v>ShieldCore Technologies</c:v>
                </c:pt>
                <c:pt idx="19">
                  <c:v>TrustShield Systems</c:v>
                </c:pt>
              </c:strCache>
            </c:strRef>
          </c:cat>
          <c:val>
            <c:numRef>
              <c:f>Pivot!$E$4:$E$24</c:f>
              <c:numCache>
                <c:formatCode>General</c:formatCode>
                <c:ptCount val="20"/>
                <c:pt idx="1">
                  <c:v>7200000</c:v>
                </c:pt>
                <c:pt idx="2">
                  <c:v>9100000</c:v>
                </c:pt>
                <c:pt idx="3">
                  <c:v>6200000</c:v>
                </c:pt>
                <c:pt idx="4">
                  <c:v>6800000</c:v>
                </c:pt>
                <c:pt idx="5">
                  <c:v>4700000</c:v>
                </c:pt>
                <c:pt idx="6">
                  <c:v>3800000</c:v>
                </c:pt>
                <c:pt idx="7">
                  <c:v>8500000</c:v>
                </c:pt>
                <c:pt idx="8">
                  <c:v>7900000</c:v>
                </c:pt>
                <c:pt idx="9">
                  <c:v>5500000</c:v>
                </c:pt>
                <c:pt idx="10">
                  <c:v>4900000</c:v>
                </c:pt>
                <c:pt idx="13">
                  <c:v>7300000</c:v>
                </c:pt>
                <c:pt idx="14">
                  <c:v>3200000</c:v>
                </c:pt>
                <c:pt idx="15">
                  <c:v>4500000</c:v>
                </c:pt>
                <c:pt idx="16">
                  <c:v>3400000</c:v>
                </c:pt>
              </c:numCache>
            </c:numRef>
          </c:val>
          <c:smooth val="0"/>
        </c:ser>
        <c:ser>
          <c:idx val="1"/>
          <c:order val="1"/>
          <c:tx>
            <c:strRef>
              <c:f>Pivot!$F$2:$F$3</c:f>
              <c:strCache>
                <c:ptCount val="1"/>
                <c:pt idx="0">
                  <c:v>Inactive</c:v>
                </c:pt>
              </c:strCache>
            </c:strRef>
          </c:tx>
          <c:spPr>
            <a:ln w="28575" cap="rnd">
              <a:solidFill>
                <a:schemeClr val="accent2"/>
              </a:solidFill>
              <a:round/>
            </a:ln>
            <a:effectLst/>
          </c:spPr>
          <c:marker>
            <c:symbol val="none"/>
          </c:marker>
          <c:cat>
            <c:strRef>
              <c:f>Pivot!$D$4:$D$24</c:f>
              <c:strCache>
                <c:ptCount val="20"/>
                <c:pt idx="0">
                  <c:v>CloudDefend Solutions</c:v>
                </c:pt>
                <c:pt idx="1">
                  <c:v>CyberGuard Systems</c:v>
                </c:pt>
                <c:pt idx="2">
                  <c:v>CyberMatrix Consulting</c:v>
                </c:pt>
                <c:pt idx="3">
                  <c:v>CyberSphere Partners</c:v>
                </c:pt>
                <c:pt idx="4">
                  <c:v>DataArmor Consulting</c:v>
                </c:pt>
                <c:pt idx="5">
                  <c:v>DataLock Technologies</c:v>
                </c:pt>
                <c:pt idx="6">
                  <c:v>DataShield Partners</c:v>
                </c:pt>
                <c:pt idx="7">
                  <c:v>DLP Experts Pvt Ltd</c:v>
                </c:pt>
                <c:pt idx="8">
                  <c:v>Fortress Cyber Systems</c:v>
                </c:pt>
                <c:pt idx="9">
                  <c:v>InfoProtect Technologies</c:v>
                </c:pt>
                <c:pt idx="10">
                  <c:v>InfoSec Associates</c:v>
                </c:pt>
                <c:pt idx="11">
                  <c:v>NetSecure Consulting</c:v>
                </c:pt>
                <c:pt idx="12">
                  <c:v>RiskShield Solutions</c:v>
                </c:pt>
                <c:pt idx="13">
                  <c:v>SafeNet Solutions</c:v>
                </c:pt>
                <c:pt idx="14">
                  <c:v>SecureLink Partners</c:v>
                </c:pt>
                <c:pt idx="15">
                  <c:v>SecureTech Solutions</c:v>
                </c:pt>
                <c:pt idx="16">
                  <c:v>SecureWave Technologies</c:v>
                </c:pt>
                <c:pt idx="17">
                  <c:v>Sentinel Technologies</c:v>
                </c:pt>
                <c:pt idx="18">
                  <c:v>ShieldCore Technologies</c:v>
                </c:pt>
                <c:pt idx="19">
                  <c:v>TrustShield Systems</c:v>
                </c:pt>
              </c:strCache>
            </c:strRef>
          </c:cat>
          <c:val>
            <c:numRef>
              <c:f>Pivot!$F$4:$F$24</c:f>
              <c:numCache>
                <c:formatCode>General</c:formatCode>
                <c:ptCount val="20"/>
                <c:pt idx="0">
                  <c:v>2900000</c:v>
                </c:pt>
                <c:pt idx="12">
                  <c:v>2800000</c:v>
                </c:pt>
                <c:pt idx="17">
                  <c:v>2500000</c:v>
                </c:pt>
              </c:numCache>
            </c:numRef>
          </c:val>
          <c:smooth val="0"/>
        </c:ser>
        <c:ser>
          <c:idx val="2"/>
          <c:order val="2"/>
          <c:tx>
            <c:strRef>
              <c:f>Pivot!$G$2:$G$3</c:f>
              <c:strCache>
                <c:ptCount val="1"/>
                <c:pt idx="0">
                  <c:v>Prospect</c:v>
                </c:pt>
              </c:strCache>
            </c:strRef>
          </c:tx>
          <c:spPr>
            <a:ln w="28575" cap="rnd">
              <a:solidFill>
                <a:schemeClr val="accent3"/>
              </a:solidFill>
              <a:round/>
            </a:ln>
            <a:effectLst/>
          </c:spPr>
          <c:marker>
            <c:symbol val="none"/>
          </c:marker>
          <c:cat>
            <c:strRef>
              <c:f>Pivot!$D$4:$D$24</c:f>
              <c:strCache>
                <c:ptCount val="20"/>
                <c:pt idx="0">
                  <c:v>CloudDefend Solutions</c:v>
                </c:pt>
                <c:pt idx="1">
                  <c:v>CyberGuard Systems</c:v>
                </c:pt>
                <c:pt idx="2">
                  <c:v>CyberMatrix Consulting</c:v>
                </c:pt>
                <c:pt idx="3">
                  <c:v>CyberSphere Partners</c:v>
                </c:pt>
                <c:pt idx="4">
                  <c:v>DataArmor Consulting</c:v>
                </c:pt>
                <c:pt idx="5">
                  <c:v>DataLock Technologies</c:v>
                </c:pt>
                <c:pt idx="6">
                  <c:v>DataShield Partners</c:v>
                </c:pt>
                <c:pt idx="7">
                  <c:v>DLP Experts Pvt Ltd</c:v>
                </c:pt>
                <c:pt idx="8">
                  <c:v>Fortress Cyber Systems</c:v>
                </c:pt>
                <c:pt idx="9">
                  <c:v>InfoProtect Technologies</c:v>
                </c:pt>
                <c:pt idx="10">
                  <c:v>InfoSec Associates</c:v>
                </c:pt>
                <c:pt idx="11">
                  <c:v>NetSecure Consulting</c:v>
                </c:pt>
                <c:pt idx="12">
                  <c:v>RiskShield Solutions</c:v>
                </c:pt>
                <c:pt idx="13">
                  <c:v>SafeNet Solutions</c:v>
                </c:pt>
                <c:pt idx="14">
                  <c:v>SecureLink Partners</c:v>
                </c:pt>
                <c:pt idx="15">
                  <c:v>SecureTech Solutions</c:v>
                </c:pt>
                <c:pt idx="16">
                  <c:v>SecureWave Technologies</c:v>
                </c:pt>
                <c:pt idx="17">
                  <c:v>Sentinel Technologies</c:v>
                </c:pt>
                <c:pt idx="18">
                  <c:v>ShieldCore Technologies</c:v>
                </c:pt>
                <c:pt idx="19">
                  <c:v>TrustShield Systems</c:v>
                </c:pt>
              </c:strCache>
            </c:strRef>
          </c:cat>
          <c:val>
            <c:numRef>
              <c:f>Pivot!$G$4:$G$24</c:f>
              <c:numCache>
                <c:formatCode>General</c:formatCode>
                <c:ptCount val="20"/>
                <c:pt idx="11">
                  <c:v>1800000</c:v>
                </c:pt>
                <c:pt idx="18">
                  <c:v>1600000</c:v>
                </c:pt>
                <c:pt idx="19">
                  <c:v>2100000</c:v>
                </c:pt>
              </c:numCache>
            </c:numRef>
          </c:val>
          <c:smooth val="0"/>
        </c:ser>
        <c:dLbls>
          <c:showLegendKey val="0"/>
          <c:showVal val="0"/>
          <c:showCatName val="0"/>
          <c:showSerName val="0"/>
          <c:showPercent val="0"/>
          <c:showBubbleSize val="0"/>
        </c:dLbls>
        <c:smooth val="0"/>
        <c:axId val="385277472"/>
        <c:axId val="385276384"/>
      </c:lineChart>
      <c:catAx>
        <c:axId val="38527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76384"/>
        <c:crosses val="autoZero"/>
        <c:auto val="1"/>
        <c:lblAlgn val="ctr"/>
        <c:lblOffset val="100"/>
        <c:noMultiLvlLbl val="0"/>
      </c:catAx>
      <c:valAx>
        <c:axId val="385276384"/>
        <c:scaling>
          <c:orientation val="minMax"/>
        </c:scaling>
        <c:delete val="1"/>
        <c:axPos val="l"/>
        <c:numFmt formatCode="General" sourceLinked="1"/>
        <c:majorTickMark val="none"/>
        <c:minorTickMark val="none"/>
        <c:tickLblPos val="nextTo"/>
        <c:crossAx val="385277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Pivot!$K$2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Pivot!$J$3:$J$5</c:f>
              <c:strCache>
                <c:ptCount val="2"/>
                <c:pt idx="0">
                  <c:v>Invoice</c:v>
                </c:pt>
                <c:pt idx="1">
                  <c:v>Negotiation</c:v>
                </c:pt>
              </c:strCache>
            </c:strRef>
          </c:cat>
          <c:val>
            <c:numRef>
              <c:f>Pivot!$K$3:$K$5</c:f>
              <c:numCache>
                <c:formatCode>General</c:formatCode>
                <c:ptCount val="2"/>
                <c:pt idx="0">
                  <c:v>95</c:v>
                </c:pt>
                <c:pt idx="1">
                  <c:v>70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Pivot!$B$27:$B$28</c:f>
              <c:strCache>
                <c:ptCount val="1"/>
                <c:pt idx="0">
                  <c:v>Owner 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Pivot!$A$29:$A$39</c:f>
              <c:strCache>
                <c:ptCount val="10"/>
                <c:pt idx="0">
                  <c:v>Alpha Corp</c:v>
                </c:pt>
                <c:pt idx="1">
                  <c:v>Beta Ltd</c:v>
                </c:pt>
                <c:pt idx="2">
                  <c:v>Delta Pvt</c:v>
                </c:pt>
                <c:pt idx="3">
                  <c:v>Epsilon Co</c:v>
                </c:pt>
                <c:pt idx="4">
                  <c:v>Eta Partners</c:v>
                </c:pt>
                <c:pt idx="5">
                  <c:v>Gamma Inc</c:v>
                </c:pt>
                <c:pt idx="6">
                  <c:v>Iota Ltd</c:v>
                </c:pt>
                <c:pt idx="7">
                  <c:v>Kappa Inc</c:v>
                </c:pt>
                <c:pt idx="8">
                  <c:v>Theta Corp</c:v>
                </c:pt>
                <c:pt idx="9">
                  <c:v>Zeta Systems</c:v>
                </c:pt>
              </c:strCache>
            </c:strRef>
          </c:cat>
          <c:val>
            <c:numRef>
              <c:f>Pivot!$B$29:$B$39</c:f>
              <c:numCache>
                <c:formatCode>0.00%</c:formatCode>
                <c:ptCount val="10"/>
                <c:pt idx="0">
                  <c:v>0.1</c:v>
                </c:pt>
                <c:pt idx="1">
                  <c:v>0</c:v>
                </c:pt>
                <c:pt idx="2">
                  <c:v>0</c:v>
                </c:pt>
                <c:pt idx="3">
                  <c:v>0</c:v>
                </c:pt>
                <c:pt idx="4">
                  <c:v>0</c:v>
                </c:pt>
                <c:pt idx="5">
                  <c:v>0.1</c:v>
                </c:pt>
                <c:pt idx="6">
                  <c:v>0.1</c:v>
                </c:pt>
                <c:pt idx="7">
                  <c:v>0</c:v>
                </c:pt>
                <c:pt idx="8">
                  <c:v>0</c:v>
                </c:pt>
                <c:pt idx="9">
                  <c:v>0.1</c:v>
                </c:pt>
              </c:numCache>
            </c:numRef>
          </c:val>
        </c:ser>
        <c:ser>
          <c:idx val="1"/>
          <c:order val="1"/>
          <c:tx>
            <c:strRef>
              <c:f>Pivot!$C$27:$C$28</c:f>
              <c:strCache>
                <c:ptCount val="1"/>
                <c:pt idx="0">
                  <c:v>Owner 2</c:v>
                </c:pt>
              </c:strCache>
            </c:strRef>
          </c:tx>
          <c:spPr>
            <a:solidFill>
              <a:schemeClr val="accent2"/>
            </a:solidFill>
            <a:ln>
              <a:noFill/>
            </a:ln>
            <a:effectLst/>
          </c:spPr>
          <c:invertIfNegative val="0"/>
          <c:cat>
            <c:strRef>
              <c:f>Pivot!$A$29:$A$39</c:f>
              <c:strCache>
                <c:ptCount val="10"/>
                <c:pt idx="0">
                  <c:v>Alpha Corp</c:v>
                </c:pt>
                <c:pt idx="1">
                  <c:v>Beta Ltd</c:v>
                </c:pt>
                <c:pt idx="2">
                  <c:v>Delta Pvt</c:v>
                </c:pt>
                <c:pt idx="3">
                  <c:v>Epsilon Co</c:v>
                </c:pt>
                <c:pt idx="4">
                  <c:v>Eta Partners</c:v>
                </c:pt>
                <c:pt idx="5">
                  <c:v>Gamma Inc</c:v>
                </c:pt>
                <c:pt idx="6">
                  <c:v>Iota Ltd</c:v>
                </c:pt>
                <c:pt idx="7">
                  <c:v>Kappa Inc</c:v>
                </c:pt>
                <c:pt idx="8">
                  <c:v>Theta Corp</c:v>
                </c:pt>
                <c:pt idx="9">
                  <c:v>Zeta Systems</c:v>
                </c:pt>
              </c:strCache>
            </c:strRef>
          </c:cat>
          <c:val>
            <c:numRef>
              <c:f>Pivot!$C$29:$C$39</c:f>
              <c:numCache>
                <c:formatCode>0.00%</c:formatCode>
                <c:ptCount val="10"/>
                <c:pt idx="0">
                  <c:v>0</c:v>
                </c:pt>
                <c:pt idx="1">
                  <c:v>0.1</c:v>
                </c:pt>
                <c:pt idx="2">
                  <c:v>0</c:v>
                </c:pt>
                <c:pt idx="3">
                  <c:v>0.1</c:v>
                </c:pt>
                <c:pt idx="4">
                  <c:v>0</c:v>
                </c:pt>
                <c:pt idx="5">
                  <c:v>0</c:v>
                </c:pt>
                <c:pt idx="6">
                  <c:v>0</c:v>
                </c:pt>
                <c:pt idx="7">
                  <c:v>0</c:v>
                </c:pt>
                <c:pt idx="8">
                  <c:v>0.1</c:v>
                </c:pt>
                <c:pt idx="9">
                  <c:v>0</c:v>
                </c:pt>
              </c:numCache>
            </c:numRef>
          </c:val>
        </c:ser>
        <c:ser>
          <c:idx val="2"/>
          <c:order val="2"/>
          <c:tx>
            <c:strRef>
              <c:f>Pivot!$D$27:$D$28</c:f>
              <c:strCache>
                <c:ptCount val="1"/>
                <c:pt idx="0">
                  <c:v>Owner 3</c:v>
                </c:pt>
              </c:strCache>
            </c:strRef>
          </c:tx>
          <c:spPr>
            <a:solidFill>
              <a:schemeClr val="accent3"/>
            </a:solidFill>
            <a:ln>
              <a:noFill/>
            </a:ln>
            <a:effectLst/>
          </c:spPr>
          <c:invertIfNegative val="0"/>
          <c:cat>
            <c:strRef>
              <c:f>Pivot!$A$29:$A$39</c:f>
              <c:strCache>
                <c:ptCount val="10"/>
                <c:pt idx="0">
                  <c:v>Alpha Corp</c:v>
                </c:pt>
                <c:pt idx="1">
                  <c:v>Beta Ltd</c:v>
                </c:pt>
                <c:pt idx="2">
                  <c:v>Delta Pvt</c:v>
                </c:pt>
                <c:pt idx="3">
                  <c:v>Epsilon Co</c:v>
                </c:pt>
                <c:pt idx="4">
                  <c:v>Eta Partners</c:v>
                </c:pt>
                <c:pt idx="5">
                  <c:v>Gamma Inc</c:v>
                </c:pt>
                <c:pt idx="6">
                  <c:v>Iota Ltd</c:v>
                </c:pt>
                <c:pt idx="7">
                  <c:v>Kappa Inc</c:v>
                </c:pt>
                <c:pt idx="8">
                  <c:v>Theta Corp</c:v>
                </c:pt>
                <c:pt idx="9">
                  <c:v>Zeta Systems</c:v>
                </c:pt>
              </c:strCache>
            </c:strRef>
          </c:cat>
          <c:val>
            <c:numRef>
              <c:f>Pivot!$D$29:$D$39</c:f>
              <c:numCache>
                <c:formatCode>0.00%</c:formatCode>
                <c:ptCount val="10"/>
                <c:pt idx="0">
                  <c:v>0</c:v>
                </c:pt>
                <c:pt idx="1">
                  <c:v>0</c:v>
                </c:pt>
                <c:pt idx="2">
                  <c:v>0.1</c:v>
                </c:pt>
                <c:pt idx="3">
                  <c:v>0</c:v>
                </c:pt>
                <c:pt idx="4">
                  <c:v>0.1</c:v>
                </c:pt>
                <c:pt idx="5">
                  <c:v>0</c:v>
                </c:pt>
                <c:pt idx="6">
                  <c:v>0</c:v>
                </c:pt>
                <c:pt idx="7">
                  <c:v>0.1</c:v>
                </c:pt>
                <c:pt idx="8">
                  <c:v>0</c:v>
                </c:pt>
                <c:pt idx="9">
                  <c:v>0</c:v>
                </c:pt>
              </c:numCache>
            </c:numRef>
          </c:val>
        </c:ser>
        <c:dLbls>
          <c:showLegendKey val="0"/>
          <c:showVal val="0"/>
          <c:showCatName val="0"/>
          <c:showSerName val="0"/>
          <c:showPercent val="0"/>
          <c:showBubbleSize val="0"/>
        </c:dLbls>
        <c:gapWidth val="182"/>
        <c:axId val="385281280"/>
        <c:axId val="385282368"/>
      </c:barChart>
      <c:catAx>
        <c:axId val="38528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82368"/>
        <c:crosses val="autoZero"/>
        <c:auto val="1"/>
        <c:lblAlgn val="ctr"/>
        <c:lblOffset val="100"/>
        <c:noMultiLvlLbl val="0"/>
      </c:catAx>
      <c:valAx>
        <c:axId val="38528236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81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3</xdr:row>
      <xdr:rowOff>22860</xdr:rowOff>
    </xdr:from>
    <xdr:to>
      <xdr:col>33</xdr:col>
      <xdr:colOff>22679</xdr:colOff>
      <xdr:row>24</xdr:row>
      <xdr:rowOff>152401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34</xdr:col>
      <xdr:colOff>86591</xdr:colOff>
      <xdr:row>3</xdr:row>
      <xdr:rowOff>64424</xdr:rowOff>
    </xdr:from>
    <xdr:to>
      <xdr:col>36</xdr:col>
      <xdr:colOff>6599465</xdr:colOff>
      <xdr:row>24</xdr:row>
      <xdr:rowOff>152401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6975072</xdr:colOff>
      <xdr:row>3</xdr:row>
      <xdr:rowOff>82431</xdr:rowOff>
    </xdr:from>
    <xdr:to>
      <xdr:col>37</xdr:col>
      <xdr:colOff>2078</xdr:colOff>
      <xdr:row>24</xdr:row>
      <xdr:rowOff>124691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207818</xdr:colOff>
      <xdr:row>27</xdr:row>
      <xdr:rowOff>152398</xdr:rowOff>
    </xdr:from>
    <xdr:to>
      <xdr:col>36</xdr:col>
      <xdr:colOff>1905000</xdr:colOff>
      <xdr:row>47</xdr:row>
      <xdr:rowOff>35276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36</xdr:col>
      <xdr:colOff>2597728</xdr:colOff>
      <xdr:row>27</xdr:row>
      <xdr:rowOff>120710</xdr:rowOff>
    </xdr:from>
    <xdr:to>
      <xdr:col>37</xdr:col>
      <xdr:colOff>2568</xdr:colOff>
      <xdr:row>47</xdr:row>
      <xdr:rowOff>25655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55417</xdr:colOff>
      <xdr:row>49</xdr:row>
      <xdr:rowOff>138546</xdr:rowOff>
    </xdr:from>
    <xdr:to>
      <xdr:col>29</xdr:col>
      <xdr:colOff>32563</xdr:colOff>
      <xdr:row>81</xdr:row>
      <xdr:rowOff>57149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65435</xdr:colOff>
      <xdr:row>49</xdr:row>
      <xdr:rowOff>181093</xdr:rowOff>
    </xdr:from>
    <xdr:to>
      <xdr:col>36</xdr:col>
      <xdr:colOff>6821714</xdr:colOff>
      <xdr:row>80</xdr:row>
      <xdr:rowOff>151190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36</xdr:col>
      <xdr:colOff>7021287</xdr:colOff>
      <xdr:row>49</xdr:row>
      <xdr:rowOff>137448</xdr:rowOff>
    </xdr:from>
    <xdr:to>
      <xdr:col>36</xdr:col>
      <xdr:colOff>14065491</xdr:colOff>
      <xdr:row>81</xdr:row>
      <xdr:rowOff>12031</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74083</xdr:colOff>
      <xdr:row>83</xdr:row>
      <xdr:rowOff>95251</xdr:rowOff>
    </xdr:from>
    <xdr:to>
      <xdr:col>29</xdr:col>
      <xdr:colOff>32563</xdr:colOff>
      <xdr:row>111</xdr:row>
      <xdr:rowOff>30239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36</xdr:col>
      <xdr:colOff>7045477</xdr:colOff>
      <xdr:row>83</xdr:row>
      <xdr:rowOff>85712</xdr:rowOff>
    </xdr:from>
    <xdr:to>
      <xdr:col>36</xdr:col>
      <xdr:colOff>13818811</xdr:colOff>
      <xdr:row>111</xdr:row>
      <xdr:rowOff>47612</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30</xdr:col>
      <xdr:colOff>0</xdr:colOff>
      <xdr:row>83</xdr:row>
      <xdr:rowOff>144538</xdr:rowOff>
    </xdr:from>
    <xdr:to>
      <xdr:col>36</xdr:col>
      <xdr:colOff>6622143</xdr:colOff>
      <xdr:row>111</xdr:row>
      <xdr:rowOff>30238</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36</xdr:col>
      <xdr:colOff>3512285</xdr:colOff>
      <xdr:row>114</xdr:row>
      <xdr:rowOff>6776</xdr:rowOff>
    </xdr:from>
    <xdr:to>
      <xdr:col>36</xdr:col>
      <xdr:colOff>13864166</xdr:colOff>
      <xdr:row>129</xdr:row>
      <xdr:rowOff>1318846</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137582</xdr:colOff>
      <xdr:row>113</xdr:row>
      <xdr:rowOff>105834</xdr:rowOff>
    </xdr:from>
    <xdr:to>
      <xdr:col>36</xdr:col>
      <xdr:colOff>3232726</xdr:colOff>
      <xdr:row>129</xdr:row>
      <xdr:rowOff>1302565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514350</xdr:colOff>
      <xdr:row>13</xdr:row>
      <xdr:rowOff>12700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603250</xdr:colOff>
      <xdr:row>0</xdr:row>
      <xdr:rowOff>0</xdr:rowOff>
    </xdr:from>
    <xdr:to>
      <xdr:col>13</xdr:col>
      <xdr:colOff>520700</xdr:colOff>
      <xdr:row>13</xdr:row>
      <xdr:rowOff>19050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107950</xdr:rowOff>
    </xdr:from>
    <xdr:to>
      <xdr:col>6</xdr:col>
      <xdr:colOff>514350</xdr:colOff>
      <xdr:row>26</xdr:row>
      <xdr:rowOff>127000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19050</xdr:rowOff>
    </xdr:from>
    <xdr:to>
      <xdr:col>6</xdr:col>
      <xdr:colOff>514350</xdr:colOff>
      <xdr:row>39</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590550</xdr:colOff>
      <xdr:row>13</xdr:row>
      <xdr:rowOff>107950</xdr:rowOff>
    </xdr:from>
    <xdr:to>
      <xdr:col>13</xdr:col>
      <xdr:colOff>514350</xdr:colOff>
      <xdr:row>26</xdr:row>
      <xdr:rowOff>127000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67028</xdr:colOff>
      <xdr:row>27</xdr:row>
      <xdr:rowOff>51858</xdr:rowOff>
    </xdr:from>
    <xdr:to>
      <xdr:col>10</xdr:col>
      <xdr:colOff>70203</xdr:colOff>
      <xdr:row>39</xdr:row>
      <xdr:rowOff>105833</xdr:rowOff>
    </xdr:to>
    <mc:AlternateContent xmlns:mc="http://schemas.openxmlformats.org/markup-compatibility/2006" xmlns:a14="http://schemas.microsoft.com/office/drawing/2010/main">
      <mc:Choice Requires="a14">
        <xdr:graphicFrame macro="">
          <xdr:nvGraphicFramePr>
            <xdr:cNvPr id="12"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326820" y="505248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119944</xdr:colOff>
      <xdr:row>27</xdr:row>
      <xdr:rowOff>43039</xdr:rowOff>
    </xdr:from>
    <xdr:to>
      <xdr:col>13</xdr:col>
      <xdr:colOff>123119</xdr:colOff>
      <xdr:row>39</xdr:row>
      <xdr:rowOff>97014</xdr:rowOff>
    </xdr:to>
    <mc:AlternateContent xmlns:mc="http://schemas.openxmlformats.org/markup-compatibility/2006" xmlns:a14="http://schemas.microsoft.com/office/drawing/2010/main">
      <mc:Choice Requires="a14">
        <xdr:graphicFrame macro="">
          <xdr:nvGraphicFramePr>
            <xdr:cNvPr id="13" name="Industry"/>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6205361" y="504366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95.478679629632" createdVersion="5" refreshedVersion="5" minRefreshableVersion="3" recordCount="20">
  <cacheSource type="worksheet">
    <worksheetSource ref="A1:F21" sheet="Partners"/>
  </cacheSource>
  <cacheFields count="6">
    <cacheField name="Partner Name" numFmtId="0">
      <sharedItems count="20">
        <s v="SecureTech Solutions"/>
        <s v="CyberGuard Systems"/>
        <s v="DataShield Partners"/>
        <s v="NetSecure Consulting"/>
        <s v="InfoProtect Technologies"/>
        <s v="DLP Experts Pvt Ltd"/>
        <s v="CloudDefend Solutions"/>
        <s v="SecureWave Technologies"/>
        <s v="CyberSphere Partners"/>
        <s v="TrustShield Systems"/>
        <s v="DataArmor Consulting"/>
        <s v="Sentinel Technologies"/>
        <s v="InfoSec Associates"/>
        <s v="SafeNet Solutions"/>
        <s v="ShieldCore Technologies"/>
        <s v="Fortress Cyber Systems"/>
        <s v="SecureLink Partners"/>
        <s v="CyberMatrix Consulting"/>
        <s v="DataLock Technologies"/>
        <s v="RiskShield Solutions"/>
      </sharedItems>
    </cacheField>
    <cacheField name="Region" numFmtId="0">
      <sharedItems/>
    </cacheField>
    <cacheField name="Contact" numFmtId="0">
      <sharedItems/>
    </cacheField>
    <cacheField name="Opportunity Count" numFmtId="0">
      <sharedItems containsSemiMixedTypes="0" containsString="0" containsNumber="1" containsInteger="1" minValue="5" maxValue="66"/>
    </cacheField>
    <cacheField name="Pipeline Value" numFmtId="0">
      <sharedItems containsSemiMixedTypes="0" containsString="0" containsNumber="1" containsInteger="1" minValue="1600000" maxValue="9100000"/>
    </cacheField>
    <cacheField name="Status" numFmtId="0">
      <sharedItems count="3">
        <s v="Active"/>
        <s v="Prospect"/>
        <s v="Inactiv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195.496854282406" backgroundQuery="1" createdVersion="5" refreshedVersion="5" minRefreshableVersion="3" recordCount="0" supportSubquery="1" supportAdvancedDrill="1">
  <cacheSource type="external" connectionId="6"/>
  <cacheFields count="4">
    <cacheField name="[PipelineTable].[Country].[Country]" caption="Country" numFmtId="0" hierarchy="15" level="1">
      <sharedItems count="2">
        <s v="India"/>
        <s v="UK"/>
      </sharedItems>
    </cacheField>
    <cacheField name="[Measures].[Sum of Opportunity Value]" caption="Sum of Opportunity Value" numFmtId="0" hierarchy="28" level="32767"/>
    <cacheField name="[MeetingsTable].[Discussion Summary].[Discussion Summary]" caption="Discussion Summary" numFmtId="0" hierarchy="8" level="1">
      <sharedItems containsSemiMixedTypes="0" containsNonDate="0" containsString="0"/>
    </cacheField>
    <cacheField name="[PipelineTable].[Industry].[Industry]" caption="Industry" numFmtId="0" hierarchy="14" level="1">
      <sharedItems containsSemiMixedTypes="0" containsNonDate="0" containsString="0"/>
    </cacheField>
  </cacheFields>
  <cacheHierarchies count="39">
    <cacheHierarchy uniqueName="[ForecastTable].[Month]" caption="Month" attribute="1" defaultMemberUniqueName="[ForecastTable].[Month].[All]" allUniqueName="[ForecastTable].[Month].[All]" dimensionUniqueName="[ForecastTable]" displayFolder="" count="0" memberValueDatatype="130" unbalanced="0"/>
    <cacheHierarchy uniqueName="[ForecastTable].[Pipeline Value]" caption="Pipeline Value" attribute="1" defaultMemberUniqueName="[ForecastTable].[Pipeline Value].[All]" allUniqueName="[ForecastTable].[Pipeline Value].[All]" dimensionUniqueName="[ForecastTable]" displayFolder="" count="0" memberValueDatatype="20" unbalanced="0"/>
    <cacheHierarchy uniqueName="[ForecastTable].[Weighted Pipeline]" caption="Weighted Pipeline" attribute="1" defaultMemberUniqueName="[ForecastTable].[Weighted Pipeline].[All]" allUniqueName="[ForecastTable].[Weighted Pipeline].[All]" dimensionUniqueName="[ForecastTable]" displayFolder="" count="0" memberValueDatatype="20" unbalanced="0"/>
    <cacheHierarchy uniqueName="[ForecastTable].[Closed Won]" caption="Closed Won" attribute="1" defaultMemberUniqueName="[ForecastTable].[Closed Won].[All]" allUniqueName="[ForecastTable].[Closed Won].[All]" dimensionUniqueName="[ForecastTable]" displayFolder="" count="0" memberValueDatatype="20" unbalanced="0"/>
    <cacheHierarchy uniqueName="[ForecastTable].[Target]" caption="Target" attribute="1" defaultMemberUniqueName="[ForecastTable].[Target].[All]" allUniqueName="[ForecastTable].[Target].[All]" dimensionUniqueName="[ForecastTable]" displayFolder="" count="0" memberValueDatatype="20" unbalanced="0"/>
    <cacheHierarchy uniqueName="[ForecastTable].[Achievement %]" caption="Achievement %" attribute="1" defaultMemberUniqueName="[ForecastTable].[Achievement %].[All]" allUniqueName="[ForecastTable].[Achievement %].[All]" dimensionUniqueName="[ForecastTable]" displayFolder="" count="0" memberValueDatatype="5" unbalanced="0"/>
    <cacheHierarchy uniqueName="[MeetingsTable].[Date]" caption="Date" attribute="1" time="1" defaultMemberUniqueName="[MeetingsTable].[Date].[All]" allUniqueName="[MeetingsTable].[Date].[All]" dimensionUniqueName="[MeetingsTable]" displayFolder="" count="2" memberValueDatatype="7" unbalanced="0"/>
    <cacheHierarchy uniqueName="[MeetingsTable].[Customer]" caption="Customer" attribute="1" defaultMemberUniqueName="[MeetingsTable].[Customer].[All]" allUniqueName="[MeetingsTable].[Customer].[All]" dimensionUniqueName="[MeetingsTable]" displayFolder="" count="0" memberValueDatatype="130" unbalanced="0"/>
    <cacheHierarchy uniqueName="[MeetingsTable].[Discussion Summary]" caption="Discussion Summary" attribute="1" defaultMemberUniqueName="[MeetingsTable].[Discussion Summary].[All]" allUniqueName="[MeetingsTable].[Discussion Summary].[All]" dimensionUniqueName="[MeetingsTable]" displayFolder="" count="2" memberValueDatatype="130" unbalanced="0">
      <fieldsUsage count="2">
        <fieldUsage x="-1"/>
        <fieldUsage x="2"/>
      </fieldsUsage>
    </cacheHierarchy>
    <cacheHierarchy uniqueName="[MeetingsTable].[Action Items]" caption="Action Items" attribute="1" defaultMemberUniqueName="[MeetingsTable].[Action Items].[All]" allUniqueName="[MeetingsTable].[Action Items].[All]" dimensionUniqueName="[MeetingsTable]" displayFolder="" count="0" memberValueDatatype="130" unbalanced="0"/>
    <cacheHierarchy uniqueName="[MeetingsTable].[Owner]" caption="Owner" attribute="1" defaultMemberUniqueName="[MeetingsTable].[Owner].[All]" allUniqueName="[MeetingsTable].[Owner].[All]" dimensionUniqueName="[MeetingsTable]" displayFolder="" count="0" memberValueDatatype="130" unbalanced="0"/>
    <cacheHierarchy uniqueName="[MeetingsTable].[Due Date]" caption="Due Date" attribute="1" time="1" defaultMemberUniqueName="[MeetingsTable].[Due Date].[All]" allUniqueName="[MeetingsTable].[Due Date].[All]" dimensionUniqueName="[MeetingsTable]" displayFolder="" count="0" memberValueDatatype="7" unbalanced="0"/>
    <cacheHierarchy uniqueName="[PipelineTable].[Opportunity ID]" caption="Opportunity ID" attribute="1" defaultMemberUniqueName="[PipelineTable].[Opportunity ID].[All]" allUniqueName="[PipelineTable].[Opportunity ID].[All]" dimensionUniqueName="[PipelineTable]" displayFolder="" count="0" memberValueDatatype="130" unbalanced="0"/>
    <cacheHierarchy uniqueName="[PipelineTable].[Customer Name]" caption="Customer Name" attribute="1" defaultMemberUniqueName="[PipelineTable].[Customer Name].[All]" allUniqueName="[PipelineTable].[Customer Name].[All]" dimensionUniqueName="[PipelineTable]" displayFolder="" count="0" memberValueDatatype="130" unbalanced="0"/>
    <cacheHierarchy uniqueName="[PipelineTable].[Industry]" caption="Industry" attribute="1" defaultMemberUniqueName="[PipelineTable].[Industry].[All]" allUniqueName="[PipelineTable].[Industry].[All]" dimensionUniqueName="[PipelineTable]" displayFolder="" count="2" memberValueDatatype="130" unbalanced="0">
      <fieldsUsage count="2">
        <fieldUsage x="-1"/>
        <fieldUsage x="3"/>
      </fieldsUsage>
    </cacheHierarchy>
    <cacheHierarchy uniqueName="[PipelineTable].[Country]" caption="Country" attribute="1" defaultMemberUniqueName="[PipelineTable].[Country].[All]" allUniqueName="[PipelineTable].[Country].[All]" dimensionUniqueName="[PipelineTable]" displayFolder="" count="2" memberValueDatatype="130" unbalanced="0">
      <fieldsUsage count="2">
        <fieldUsage x="-1"/>
        <fieldUsage x="0"/>
      </fieldsUsage>
    </cacheHierarchy>
    <cacheHierarchy uniqueName="[PipelineTable].[Contact Person]" caption="Contact Person" attribute="1" defaultMemberUniqueName="[PipelineTable].[Contact Person].[All]" allUniqueName="[PipelineTable].[Contact Person].[All]" dimensionUniqueName="[PipelineTable]" displayFolder="" count="0" memberValueDatatype="130" unbalanced="0"/>
    <cacheHierarchy uniqueName="[PipelineTable].[Lead Source]" caption="Lead Source" attribute="1" defaultMemberUniqueName="[PipelineTable].[Lead Source].[All]" allUniqueName="[PipelineTable].[Lead Source].[All]" dimensionUniqueName="[PipelineTable]" displayFolder="" count="0" memberValueDatatype="130" unbalanced="0"/>
    <cacheHierarchy uniqueName="[PipelineTable].[Opportunity Value]" caption="Opportunity Value" attribute="1" defaultMemberUniqueName="[PipelineTable].[Opportunity Value].[All]" allUniqueName="[PipelineTable].[Opportunity Value].[All]" dimensionUniqueName="[PipelineTable]" displayFolder="" count="0" memberValueDatatype="20" unbalanced="0"/>
    <cacheHierarchy uniqueName="[PipelineTable].[Stage]" caption="Stage" attribute="1" defaultMemberUniqueName="[PipelineTable].[Stage].[All]" allUniqueName="[PipelineTable].[Stage].[All]" dimensionUniqueName="[PipelineTable]" displayFolder="" count="0" memberValueDatatype="130" unbalanced="0"/>
    <cacheHierarchy uniqueName="[PipelineTable].[Probability %]" caption="Probability %" attribute="1" defaultMemberUniqueName="[PipelineTable].[Probability %].[All]" allUniqueName="[PipelineTable].[Probability %].[All]" dimensionUniqueName="[PipelineTable]" displayFolder="" count="0" memberValueDatatype="20" unbalanced="0"/>
    <cacheHierarchy uniqueName="[PipelineTable].[Weighted Pipeline]" caption="Weighted Pipeline" attribute="1" defaultMemberUniqueName="[PipelineTable].[Weighted Pipeline].[All]" allUniqueName="[PipelineTable].[Weighted Pipeline].[All]" dimensionUniqueName="[PipelineTable]" displayFolder="" count="0" memberValueDatatype="130" unbalanced="0"/>
    <cacheHierarchy uniqueName="[PipelineTable].[Expected Close Date]" caption="Expected Close Date" attribute="1" defaultMemberUniqueName="[PipelineTable].[Expected Close Date].[All]" allUniqueName="[PipelineTable].[Expected Close Date].[All]" dimensionUniqueName="[PipelineTable]" displayFolder="" count="0" memberValueDatatype="130" unbalanced="0"/>
    <cacheHierarchy uniqueName="[PipelineTable].[Competitor]" caption="Competitor" attribute="1" defaultMemberUniqueName="[PipelineTable].[Competitor].[All]" allUniqueName="[PipelineTable].[Competitor].[All]" dimensionUniqueName="[PipelineTable]" displayFolder="" count="0" memberValueDatatype="130" unbalanced="0"/>
    <cacheHierarchy uniqueName="[PipelineTable].[Next Action]" caption="Next Action" attribute="1" defaultMemberUniqueName="[PipelineTable].[Next Action].[All]" allUniqueName="[PipelineTable].[Next Action].[All]" dimensionUniqueName="[PipelineTable]" displayFolder="" count="0" memberValueDatatype="130" unbalanced="0"/>
    <cacheHierarchy uniqueName="[PipelineTable].[Sales Owner]" caption="Sales Owner" attribute="1" defaultMemberUniqueName="[PipelineTable].[Sales Owner].[All]" allUniqueName="[PipelineTable].[Sales Owner].[All]" dimensionUniqueName="[PipelineTable]" displayFolder="" count="0" memberValueDatatype="130" unbalanced="0"/>
    <cacheHierarchy uniqueName="[PipelineTable].[Status]" caption="Status" attribute="1" defaultMemberUniqueName="[PipelineTable].[Status].[All]" allUniqueName="[PipelineTable].[Status].[All]" dimensionUniqueName="[PipelineTable]" displayFolder="" count="0" memberValueDatatype="130" unbalanced="0"/>
    <cacheHierarchy uniqueName="[Measures].[Count of Weighted Pipeline]" caption="Count of Weighted Pipeline" measure="1" displayFolder="" measureGroup="PipelineTable" count="0">
      <extLst>
        <ext xmlns:x15="http://schemas.microsoft.com/office/spreadsheetml/2010/11/main" uri="{B97F6D7D-B522-45F9-BDA1-12C45D357490}">
          <x15:cacheHierarchy aggregatedColumn="21"/>
        </ext>
      </extLst>
    </cacheHierarchy>
    <cacheHierarchy uniqueName="[Measures].[Sum of Opportunity Value]" caption="Sum of Opportunity Value" measure="1" displayFolder="" measureGroup="PipelineTable" count="0" oneField="1">
      <fieldsUsage count="1">
        <fieldUsage x="1"/>
      </fieldsUsage>
      <extLst>
        <ext xmlns:x15="http://schemas.microsoft.com/office/spreadsheetml/2010/11/main" uri="{B97F6D7D-B522-45F9-BDA1-12C45D357490}">
          <x15:cacheHierarchy aggregatedColumn="18"/>
        </ext>
      </extLst>
    </cacheHierarchy>
    <cacheHierarchy uniqueName="[Measures].[Sum of Probability %]" caption="Sum of Probability %" measure="1" displayFolder="" measureGroup="PipelineTable" count="0">
      <extLst>
        <ext xmlns:x15="http://schemas.microsoft.com/office/spreadsheetml/2010/11/main" uri="{B97F6D7D-B522-45F9-BDA1-12C45D357490}">
          <x15:cacheHierarchy aggregatedColumn="20"/>
        </ext>
      </extLst>
    </cacheHierarchy>
    <cacheHierarchy uniqueName="[Measures].[Count of Action Items]" caption="Count of Action Items" measure="1" displayFolder="" measureGroup="MeetingsTable" count="0">
      <extLst>
        <ext xmlns:x15="http://schemas.microsoft.com/office/spreadsheetml/2010/11/main" uri="{B97F6D7D-B522-45F9-BDA1-12C45D357490}">
          <x15:cacheHierarchy aggregatedColumn="9"/>
        </ext>
      </extLst>
    </cacheHierarchy>
    <cacheHierarchy uniqueName="[Measures].[Count of Owner]" caption="Count of Owner" measure="1" displayFolder="" measureGroup="MeetingsTable" count="0">
      <extLst>
        <ext xmlns:x15="http://schemas.microsoft.com/office/spreadsheetml/2010/11/main" uri="{B97F6D7D-B522-45F9-BDA1-12C45D357490}">
          <x15:cacheHierarchy aggregatedColumn="10"/>
        </ext>
      </extLst>
    </cacheHierarchy>
    <cacheHierarchy uniqueName="[Measures].[Count of Discussion Summary]" caption="Count of Discussion Summary" measure="1" displayFolder="" measureGroup="MeetingsTable" count="0">
      <extLst>
        <ext xmlns:x15="http://schemas.microsoft.com/office/spreadsheetml/2010/11/main" uri="{B97F6D7D-B522-45F9-BDA1-12C45D357490}">
          <x15:cacheHierarchy aggregatedColumn="8"/>
        </ext>
      </extLst>
    </cacheHierarchy>
    <cacheHierarchy uniqueName="[Measures].[Count of Customer]" caption="Count of Customer" measure="1" displayFolder="" measureGroup="MeetingsTable" count="0">
      <extLst>
        <ext xmlns:x15="http://schemas.microsoft.com/office/spreadsheetml/2010/11/main" uri="{B97F6D7D-B522-45F9-BDA1-12C45D357490}">
          <x15:cacheHierarchy aggregatedColumn="7"/>
        </ext>
      </extLst>
    </cacheHierarchy>
    <cacheHierarchy uniqueName="[Measures].[Distinct Count of Action Items]" caption="Distinct Count of Action Items" measure="1" displayFolder="" measureGroup="MeetingsTable" count="0">
      <extLst>
        <ext xmlns:x15="http://schemas.microsoft.com/office/spreadsheetml/2010/11/main" uri="{B97F6D7D-B522-45F9-BDA1-12C45D357490}">
          <x15:cacheHierarchy aggregatedColumn="9"/>
        </ext>
      </extLst>
    </cacheHierarchy>
    <cacheHierarchy uniqueName="[Measures].[__XL_Count PipelineTable]" caption="__XL_Count PipelineTable" measure="1" displayFolder="" measureGroup="PipelineTable" count="0" hidden="1"/>
    <cacheHierarchy uniqueName="[Measures].[__XL_Count MeetingsTable]" caption="__XL_Count MeetingsTable" measure="1" displayFolder="" measureGroup="MeetingsTable" count="0" hidden="1"/>
    <cacheHierarchy uniqueName="[Measures].[__XL_Count ForecastTable]" caption="__XL_Count ForecastTable" measure="1" displayFolder="" measureGroup="ForecastTable" count="0" hidden="1"/>
    <cacheHierarchy uniqueName="[Measures].[__XL_Count of Models]" caption="__XL_Count of Models" measure="1" displayFolder="" count="0" hidden="1"/>
  </cacheHierarchies>
  <kpis count="0"/>
  <dimensions count="4">
    <dimension name="ForecastTable" uniqueName="[ForecastTable]" caption="ForecastTable"/>
    <dimension measure="1" name="Measures" uniqueName="[Measures]" caption="Measures"/>
    <dimension name="MeetingsTable" uniqueName="[MeetingsTable]" caption="MeetingsTable"/>
    <dimension name="PipelineTable" uniqueName="[PipelineTable]" caption="PipelineTable"/>
  </dimensions>
  <measureGroups count="3">
    <measureGroup name="ForecastTable" caption="ForecastTable"/>
    <measureGroup name="MeetingsTable" caption="MeetingsTable"/>
    <measureGroup name="PipelineTable" caption="Pipeline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195.496854745368" backgroundQuery="1" createdVersion="5" refreshedVersion="5" minRefreshableVersion="3" recordCount="0" supportSubquery="1" supportAdvancedDrill="1">
  <cacheSource type="external" connectionId="6"/>
  <cacheFields count="4">
    <cacheField name="[PipelineTable].[Contact Person].[Contact Person]" caption="Contact Person" numFmtId="0" hierarchy="16" level="1">
      <sharedItems count="2">
        <s v="Emma B"/>
        <s v="Priya S"/>
      </sharedItems>
    </cacheField>
    <cacheField name="[Measures].[Sum of Opportunity Value]" caption="Sum of Opportunity Value" numFmtId="0" hierarchy="28" level="32767"/>
    <cacheField name="[MeetingsTable].[Discussion Summary].[Discussion Summary]" caption="Discussion Summary" numFmtId="0" hierarchy="8" level="1">
      <sharedItems containsSemiMixedTypes="0" containsNonDate="0" containsString="0"/>
    </cacheField>
    <cacheField name="[PipelineTable].[Industry].[Industry]" caption="Industry" numFmtId="0" hierarchy="14" level="1">
      <sharedItems containsSemiMixedTypes="0" containsNonDate="0" containsString="0"/>
    </cacheField>
  </cacheFields>
  <cacheHierarchies count="39">
    <cacheHierarchy uniqueName="[ForecastTable].[Month]" caption="Month" attribute="1" defaultMemberUniqueName="[ForecastTable].[Month].[All]" allUniqueName="[ForecastTable].[Month].[All]" dimensionUniqueName="[ForecastTable]" displayFolder="" count="0" memberValueDatatype="130" unbalanced="0"/>
    <cacheHierarchy uniqueName="[ForecastTable].[Pipeline Value]" caption="Pipeline Value" attribute="1" defaultMemberUniqueName="[ForecastTable].[Pipeline Value].[All]" allUniqueName="[ForecastTable].[Pipeline Value].[All]" dimensionUniqueName="[ForecastTable]" displayFolder="" count="0" memberValueDatatype="20" unbalanced="0"/>
    <cacheHierarchy uniqueName="[ForecastTable].[Weighted Pipeline]" caption="Weighted Pipeline" attribute="1" defaultMemberUniqueName="[ForecastTable].[Weighted Pipeline].[All]" allUniqueName="[ForecastTable].[Weighted Pipeline].[All]" dimensionUniqueName="[ForecastTable]" displayFolder="" count="0" memberValueDatatype="20" unbalanced="0"/>
    <cacheHierarchy uniqueName="[ForecastTable].[Closed Won]" caption="Closed Won" attribute="1" defaultMemberUniqueName="[ForecastTable].[Closed Won].[All]" allUniqueName="[ForecastTable].[Closed Won].[All]" dimensionUniqueName="[ForecastTable]" displayFolder="" count="0" memberValueDatatype="20" unbalanced="0"/>
    <cacheHierarchy uniqueName="[ForecastTable].[Target]" caption="Target" attribute="1" defaultMemberUniqueName="[ForecastTable].[Target].[All]" allUniqueName="[ForecastTable].[Target].[All]" dimensionUniqueName="[ForecastTable]" displayFolder="" count="0" memberValueDatatype="20" unbalanced="0"/>
    <cacheHierarchy uniqueName="[ForecastTable].[Achievement %]" caption="Achievement %" attribute="1" defaultMemberUniqueName="[ForecastTable].[Achievement %].[All]" allUniqueName="[ForecastTable].[Achievement %].[All]" dimensionUniqueName="[ForecastTable]" displayFolder="" count="0" memberValueDatatype="5" unbalanced="0"/>
    <cacheHierarchy uniqueName="[MeetingsTable].[Date]" caption="Date" attribute="1" time="1" defaultMemberUniqueName="[MeetingsTable].[Date].[All]" allUniqueName="[MeetingsTable].[Date].[All]" dimensionUniqueName="[MeetingsTable]" displayFolder="" count="2" memberValueDatatype="7" unbalanced="0"/>
    <cacheHierarchy uniqueName="[MeetingsTable].[Customer]" caption="Customer" attribute="1" defaultMemberUniqueName="[MeetingsTable].[Customer].[All]" allUniqueName="[MeetingsTable].[Customer].[All]" dimensionUniqueName="[MeetingsTable]" displayFolder="" count="0" memberValueDatatype="130" unbalanced="0"/>
    <cacheHierarchy uniqueName="[MeetingsTable].[Discussion Summary]" caption="Discussion Summary" attribute="1" defaultMemberUniqueName="[MeetingsTable].[Discussion Summary].[All]" allUniqueName="[MeetingsTable].[Discussion Summary].[All]" dimensionUniqueName="[MeetingsTable]" displayFolder="" count="2" memberValueDatatype="130" unbalanced="0">
      <fieldsUsage count="2">
        <fieldUsage x="-1"/>
        <fieldUsage x="2"/>
      </fieldsUsage>
    </cacheHierarchy>
    <cacheHierarchy uniqueName="[MeetingsTable].[Action Items]" caption="Action Items" attribute="1" defaultMemberUniqueName="[MeetingsTable].[Action Items].[All]" allUniqueName="[MeetingsTable].[Action Items].[All]" dimensionUniqueName="[MeetingsTable]" displayFolder="" count="0" memberValueDatatype="130" unbalanced="0"/>
    <cacheHierarchy uniqueName="[MeetingsTable].[Owner]" caption="Owner" attribute="1" defaultMemberUniqueName="[MeetingsTable].[Owner].[All]" allUniqueName="[MeetingsTable].[Owner].[All]" dimensionUniqueName="[MeetingsTable]" displayFolder="" count="0" memberValueDatatype="130" unbalanced="0"/>
    <cacheHierarchy uniqueName="[MeetingsTable].[Due Date]" caption="Due Date" attribute="1" time="1" defaultMemberUniqueName="[MeetingsTable].[Due Date].[All]" allUniqueName="[MeetingsTable].[Due Date].[All]" dimensionUniqueName="[MeetingsTable]" displayFolder="" count="0" memberValueDatatype="7" unbalanced="0"/>
    <cacheHierarchy uniqueName="[PipelineTable].[Opportunity ID]" caption="Opportunity ID" attribute="1" defaultMemberUniqueName="[PipelineTable].[Opportunity ID].[All]" allUniqueName="[PipelineTable].[Opportunity ID].[All]" dimensionUniqueName="[PipelineTable]" displayFolder="" count="0" memberValueDatatype="130" unbalanced="0"/>
    <cacheHierarchy uniqueName="[PipelineTable].[Customer Name]" caption="Customer Name" attribute="1" defaultMemberUniqueName="[PipelineTable].[Customer Name].[All]" allUniqueName="[PipelineTable].[Customer Name].[All]" dimensionUniqueName="[PipelineTable]" displayFolder="" count="0" memberValueDatatype="130" unbalanced="0"/>
    <cacheHierarchy uniqueName="[PipelineTable].[Industry]" caption="Industry" attribute="1" defaultMemberUniqueName="[PipelineTable].[Industry].[All]" allUniqueName="[PipelineTable].[Industry].[All]" dimensionUniqueName="[PipelineTable]" displayFolder="" count="2" memberValueDatatype="130" unbalanced="0">
      <fieldsUsage count="2">
        <fieldUsage x="-1"/>
        <fieldUsage x="3"/>
      </fieldsUsage>
    </cacheHierarchy>
    <cacheHierarchy uniqueName="[PipelineTable].[Country]" caption="Country" attribute="1" defaultMemberUniqueName="[PipelineTable].[Country].[All]" allUniqueName="[PipelineTable].[Country].[All]" dimensionUniqueName="[PipelineTable]" displayFolder="" count="0" memberValueDatatype="130" unbalanced="0"/>
    <cacheHierarchy uniqueName="[PipelineTable].[Contact Person]" caption="Contact Person" attribute="1" defaultMemberUniqueName="[PipelineTable].[Contact Person].[All]" allUniqueName="[PipelineTable].[Contact Person].[All]" dimensionUniqueName="[PipelineTable]" displayFolder="" count="2" memberValueDatatype="130" unbalanced="0">
      <fieldsUsage count="2">
        <fieldUsage x="-1"/>
        <fieldUsage x="0"/>
      </fieldsUsage>
    </cacheHierarchy>
    <cacheHierarchy uniqueName="[PipelineTable].[Lead Source]" caption="Lead Source" attribute="1" defaultMemberUniqueName="[PipelineTable].[Lead Source].[All]" allUniqueName="[PipelineTable].[Lead Source].[All]" dimensionUniqueName="[PipelineTable]" displayFolder="" count="0" memberValueDatatype="130" unbalanced="0"/>
    <cacheHierarchy uniqueName="[PipelineTable].[Opportunity Value]" caption="Opportunity Value" attribute="1" defaultMemberUniqueName="[PipelineTable].[Opportunity Value].[All]" allUniqueName="[PipelineTable].[Opportunity Value].[All]" dimensionUniqueName="[PipelineTable]" displayFolder="" count="0" memberValueDatatype="20" unbalanced="0"/>
    <cacheHierarchy uniqueName="[PipelineTable].[Stage]" caption="Stage" attribute="1" defaultMemberUniqueName="[PipelineTable].[Stage].[All]" allUniqueName="[PipelineTable].[Stage].[All]" dimensionUniqueName="[PipelineTable]" displayFolder="" count="0" memberValueDatatype="130" unbalanced="0"/>
    <cacheHierarchy uniqueName="[PipelineTable].[Probability %]" caption="Probability %" attribute="1" defaultMemberUniqueName="[PipelineTable].[Probability %].[All]" allUniqueName="[PipelineTable].[Probability %].[All]" dimensionUniqueName="[PipelineTable]" displayFolder="" count="0" memberValueDatatype="20" unbalanced="0"/>
    <cacheHierarchy uniqueName="[PipelineTable].[Weighted Pipeline]" caption="Weighted Pipeline" attribute="1" defaultMemberUniqueName="[PipelineTable].[Weighted Pipeline].[All]" allUniqueName="[PipelineTable].[Weighted Pipeline].[All]" dimensionUniqueName="[PipelineTable]" displayFolder="" count="0" memberValueDatatype="130" unbalanced="0"/>
    <cacheHierarchy uniqueName="[PipelineTable].[Expected Close Date]" caption="Expected Close Date" attribute="1" defaultMemberUniqueName="[PipelineTable].[Expected Close Date].[All]" allUniqueName="[PipelineTable].[Expected Close Date].[All]" dimensionUniqueName="[PipelineTable]" displayFolder="" count="0" memberValueDatatype="130" unbalanced="0"/>
    <cacheHierarchy uniqueName="[PipelineTable].[Competitor]" caption="Competitor" attribute="1" defaultMemberUniqueName="[PipelineTable].[Competitor].[All]" allUniqueName="[PipelineTable].[Competitor].[All]" dimensionUniqueName="[PipelineTable]" displayFolder="" count="0" memberValueDatatype="130" unbalanced="0"/>
    <cacheHierarchy uniqueName="[PipelineTable].[Next Action]" caption="Next Action" attribute="1" defaultMemberUniqueName="[PipelineTable].[Next Action].[All]" allUniqueName="[PipelineTable].[Next Action].[All]" dimensionUniqueName="[PipelineTable]" displayFolder="" count="0" memberValueDatatype="130" unbalanced="0"/>
    <cacheHierarchy uniqueName="[PipelineTable].[Sales Owner]" caption="Sales Owner" attribute="1" defaultMemberUniqueName="[PipelineTable].[Sales Owner].[All]" allUniqueName="[PipelineTable].[Sales Owner].[All]" dimensionUniqueName="[PipelineTable]" displayFolder="" count="0" memberValueDatatype="130" unbalanced="0"/>
    <cacheHierarchy uniqueName="[PipelineTable].[Status]" caption="Status" attribute="1" defaultMemberUniqueName="[PipelineTable].[Status].[All]" allUniqueName="[PipelineTable].[Status].[All]" dimensionUniqueName="[PipelineTable]" displayFolder="" count="0" memberValueDatatype="130" unbalanced="0"/>
    <cacheHierarchy uniqueName="[Measures].[Count of Weighted Pipeline]" caption="Count of Weighted Pipeline" measure="1" displayFolder="" measureGroup="PipelineTable" count="0">
      <extLst>
        <ext xmlns:x15="http://schemas.microsoft.com/office/spreadsheetml/2010/11/main" uri="{B97F6D7D-B522-45F9-BDA1-12C45D357490}">
          <x15:cacheHierarchy aggregatedColumn="21"/>
        </ext>
      </extLst>
    </cacheHierarchy>
    <cacheHierarchy uniqueName="[Measures].[Sum of Opportunity Value]" caption="Sum of Opportunity Value" measure="1" displayFolder="" measureGroup="PipelineTable" count="0" oneField="1">
      <fieldsUsage count="1">
        <fieldUsage x="1"/>
      </fieldsUsage>
      <extLst>
        <ext xmlns:x15="http://schemas.microsoft.com/office/spreadsheetml/2010/11/main" uri="{B97F6D7D-B522-45F9-BDA1-12C45D357490}">
          <x15:cacheHierarchy aggregatedColumn="18"/>
        </ext>
      </extLst>
    </cacheHierarchy>
    <cacheHierarchy uniqueName="[Measures].[Sum of Probability %]" caption="Sum of Probability %" measure="1" displayFolder="" measureGroup="PipelineTable" count="0">
      <extLst>
        <ext xmlns:x15="http://schemas.microsoft.com/office/spreadsheetml/2010/11/main" uri="{B97F6D7D-B522-45F9-BDA1-12C45D357490}">
          <x15:cacheHierarchy aggregatedColumn="20"/>
        </ext>
      </extLst>
    </cacheHierarchy>
    <cacheHierarchy uniqueName="[Measures].[Count of Action Items]" caption="Count of Action Items" measure="1" displayFolder="" measureGroup="MeetingsTable" count="0">
      <extLst>
        <ext xmlns:x15="http://schemas.microsoft.com/office/spreadsheetml/2010/11/main" uri="{B97F6D7D-B522-45F9-BDA1-12C45D357490}">
          <x15:cacheHierarchy aggregatedColumn="9"/>
        </ext>
      </extLst>
    </cacheHierarchy>
    <cacheHierarchy uniqueName="[Measures].[Count of Owner]" caption="Count of Owner" measure="1" displayFolder="" measureGroup="MeetingsTable" count="0">
      <extLst>
        <ext xmlns:x15="http://schemas.microsoft.com/office/spreadsheetml/2010/11/main" uri="{B97F6D7D-B522-45F9-BDA1-12C45D357490}">
          <x15:cacheHierarchy aggregatedColumn="10"/>
        </ext>
      </extLst>
    </cacheHierarchy>
    <cacheHierarchy uniqueName="[Measures].[Count of Discussion Summary]" caption="Count of Discussion Summary" measure="1" displayFolder="" measureGroup="MeetingsTable" count="0">
      <extLst>
        <ext xmlns:x15="http://schemas.microsoft.com/office/spreadsheetml/2010/11/main" uri="{B97F6D7D-B522-45F9-BDA1-12C45D357490}">
          <x15:cacheHierarchy aggregatedColumn="8"/>
        </ext>
      </extLst>
    </cacheHierarchy>
    <cacheHierarchy uniqueName="[Measures].[Count of Customer]" caption="Count of Customer" measure="1" displayFolder="" measureGroup="MeetingsTable" count="0">
      <extLst>
        <ext xmlns:x15="http://schemas.microsoft.com/office/spreadsheetml/2010/11/main" uri="{B97F6D7D-B522-45F9-BDA1-12C45D357490}">
          <x15:cacheHierarchy aggregatedColumn="7"/>
        </ext>
      </extLst>
    </cacheHierarchy>
    <cacheHierarchy uniqueName="[Measures].[Distinct Count of Action Items]" caption="Distinct Count of Action Items" measure="1" displayFolder="" measureGroup="MeetingsTable" count="0">
      <extLst>
        <ext xmlns:x15="http://schemas.microsoft.com/office/spreadsheetml/2010/11/main" uri="{B97F6D7D-B522-45F9-BDA1-12C45D357490}">
          <x15:cacheHierarchy aggregatedColumn="9"/>
        </ext>
      </extLst>
    </cacheHierarchy>
    <cacheHierarchy uniqueName="[Measures].[__XL_Count PipelineTable]" caption="__XL_Count PipelineTable" measure="1" displayFolder="" measureGroup="PipelineTable" count="0" hidden="1"/>
    <cacheHierarchy uniqueName="[Measures].[__XL_Count MeetingsTable]" caption="__XL_Count MeetingsTable" measure="1" displayFolder="" measureGroup="MeetingsTable" count="0" hidden="1"/>
    <cacheHierarchy uniqueName="[Measures].[__XL_Count ForecastTable]" caption="__XL_Count ForecastTable" measure="1" displayFolder="" measureGroup="ForecastTable" count="0" hidden="1"/>
    <cacheHierarchy uniqueName="[Measures].[__XL_Count of Models]" caption="__XL_Count of Models" measure="1" displayFolder="" count="0" hidden="1"/>
  </cacheHierarchies>
  <kpis count="0"/>
  <dimensions count="4">
    <dimension name="ForecastTable" uniqueName="[ForecastTable]" caption="ForecastTable"/>
    <dimension measure="1" name="Measures" uniqueName="[Measures]" caption="Measures"/>
    <dimension name="MeetingsTable" uniqueName="[MeetingsTable]" caption="MeetingsTable"/>
    <dimension name="PipelineTable" uniqueName="[PipelineTable]" caption="PipelineTable"/>
  </dimensions>
  <measureGroups count="3">
    <measureGroup name="ForecastTable" caption="ForecastTable"/>
    <measureGroup name="MeetingsTable" caption="MeetingsTable"/>
    <measureGroup name="PipelineTable" caption="Pipeline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195.496855324076" backgroundQuery="1" createdVersion="5" refreshedVersion="5" minRefreshableVersion="3" recordCount="0" supportSubquery="1" supportAdvancedDrill="1">
  <cacheSource type="external" connectionId="6"/>
  <cacheFields count="4">
    <cacheField name="[Measures].[Sum of Probability %]" caption="Sum of Probability %" numFmtId="0" hierarchy="29" level="32767"/>
    <cacheField name="[PipelineTable].[Competitor].[Competitor]" caption="Competitor" numFmtId="0" hierarchy="23" level="1">
      <sharedItems count="8">
        <s v="Invoice"/>
        <s v="Negotiation"/>
        <s v="Follow Up" u="1"/>
        <s v="Send Deck" u="1"/>
        <s v="Demo" u="1"/>
        <s v="Discovery" u="1"/>
        <s v="Contract" u="1"/>
        <s v="Handover" u="1"/>
      </sharedItems>
    </cacheField>
    <cacheField name="[MeetingsTable].[Discussion Summary].[Discussion Summary]" caption="Discussion Summary" numFmtId="0" hierarchy="8" level="1">
      <sharedItems containsSemiMixedTypes="0" containsNonDate="0" containsString="0"/>
    </cacheField>
    <cacheField name="[PipelineTable].[Industry].[Industry]" caption="Industry" numFmtId="0" hierarchy="14" level="1">
      <sharedItems containsSemiMixedTypes="0" containsNonDate="0" containsString="0"/>
    </cacheField>
  </cacheFields>
  <cacheHierarchies count="39">
    <cacheHierarchy uniqueName="[ForecastTable].[Month]" caption="Month" attribute="1" defaultMemberUniqueName="[ForecastTable].[Month].[All]" allUniqueName="[ForecastTable].[Month].[All]" dimensionUniqueName="[ForecastTable]" displayFolder="" count="0" memberValueDatatype="130" unbalanced="0"/>
    <cacheHierarchy uniqueName="[ForecastTable].[Pipeline Value]" caption="Pipeline Value" attribute="1" defaultMemberUniqueName="[ForecastTable].[Pipeline Value].[All]" allUniqueName="[ForecastTable].[Pipeline Value].[All]" dimensionUniqueName="[ForecastTable]" displayFolder="" count="0" memberValueDatatype="20" unbalanced="0"/>
    <cacheHierarchy uniqueName="[ForecastTable].[Weighted Pipeline]" caption="Weighted Pipeline" attribute="1" defaultMemberUniqueName="[ForecastTable].[Weighted Pipeline].[All]" allUniqueName="[ForecastTable].[Weighted Pipeline].[All]" dimensionUniqueName="[ForecastTable]" displayFolder="" count="0" memberValueDatatype="20" unbalanced="0"/>
    <cacheHierarchy uniqueName="[ForecastTable].[Closed Won]" caption="Closed Won" attribute="1" defaultMemberUniqueName="[ForecastTable].[Closed Won].[All]" allUniqueName="[ForecastTable].[Closed Won].[All]" dimensionUniqueName="[ForecastTable]" displayFolder="" count="0" memberValueDatatype="20" unbalanced="0"/>
    <cacheHierarchy uniqueName="[ForecastTable].[Target]" caption="Target" attribute="1" defaultMemberUniqueName="[ForecastTable].[Target].[All]" allUniqueName="[ForecastTable].[Target].[All]" dimensionUniqueName="[ForecastTable]" displayFolder="" count="0" memberValueDatatype="20" unbalanced="0"/>
    <cacheHierarchy uniqueName="[ForecastTable].[Achievement %]" caption="Achievement %" attribute="1" defaultMemberUniqueName="[ForecastTable].[Achievement %].[All]" allUniqueName="[ForecastTable].[Achievement %].[All]" dimensionUniqueName="[ForecastTable]" displayFolder="" count="0" memberValueDatatype="5" unbalanced="0"/>
    <cacheHierarchy uniqueName="[MeetingsTable].[Date]" caption="Date" attribute="1" time="1" defaultMemberUniqueName="[MeetingsTable].[Date].[All]" allUniqueName="[MeetingsTable].[Date].[All]" dimensionUniqueName="[MeetingsTable]" displayFolder="" count="2" memberValueDatatype="7" unbalanced="0"/>
    <cacheHierarchy uniqueName="[MeetingsTable].[Customer]" caption="Customer" attribute="1" defaultMemberUniqueName="[MeetingsTable].[Customer].[All]" allUniqueName="[MeetingsTable].[Customer].[All]" dimensionUniqueName="[MeetingsTable]" displayFolder="" count="0" memberValueDatatype="130" unbalanced="0"/>
    <cacheHierarchy uniqueName="[MeetingsTable].[Discussion Summary]" caption="Discussion Summary" attribute="1" defaultMemberUniqueName="[MeetingsTable].[Discussion Summary].[All]" allUniqueName="[MeetingsTable].[Discussion Summary].[All]" dimensionUniqueName="[MeetingsTable]" displayFolder="" count="2" memberValueDatatype="130" unbalanced="0">
      <fieldsUsage count="2">
        <fieldUsage x="-1"/>
        <fieldUsage x="2"/>
      </fieldsUsage>
    </cacheHierarchy>
    <cacheHierarchy uniqueName="[MeetingsTable].[Action Items]" caption="Action Items" attribute="1" defaultMemberUniqueName="[MeetingsTable].[Action Items].[All]" allUniqueName="[MeetingsTable].[Action Items].[All]" dimensionUniqueName="[MeetingsTable]" displayFolder="" count="0" memberValueDatatype="130" unbalanced="0"/>
    <cacheHierarchy uniqueName="[MeetingsTable].[Owner]" caption="Owner" attribute="1" defaultMemberUniqueName="[MeetingsTable].[Owner].[All]" allUniqueName="[MeetingsTable].[Owner].[All]" dimensionUniqueName="[MeetingsTable]" displayFolder="" count="0" memberValueDatatype="130" unbalanced="0"/>
    <cacheHierarchy uniqueName="[MeetingsTable].[Due Date]" caption="Due Date" attribute="1" time="1" defaultMemberUniqueName="[MeetingsTable].[Due Date].[All]" allUniqueName="[MeetingsTable].[Due Date].[All]" dimensionUniqueName="[MeetingsTable]" displayFolder="" count="0" memberValueDatatype="7" unbalanced="0"/>
    <cacheHierarchy uniqueName="[PipelineTable].[Opportunity ID]" caption="Opportunity ID" attribute="1" defaultMemberUniqueName="[PipelineTable].[Opportunity ID].[All]" allUniqueName="[PipelineTable].[Opportunity ID].[All]" dimensionUniqueName="[PipelineTable]" displayFolder="" count="0" memberValueDatatype="130" unbalanced="0"/>
    <cacheHierarchy uniqueName="[PipelineTable].[Customer Name]" caption="Customer Name" attribute="1" defaultMemberUniqueName="[PipelineTable].[Customer Name].[All]" allUniqueName="[PipelineTable].[Customer Name].[All]" dimensionUniqueName="[PipelineTable]" displayFolder="" count="0" memberValueDatatype="130" unbalanced="0"/>
    <cacheHierarchy uniqueName="[PipelineTable].[Industry]" caption="Industry" attribute="1" defaultMemberUniqueName="[PipelineTable].[Industry].[All]" allUniqueName="[PipelineTable].[Industry].[All]" dimensionUniqueName="[PipelineTable]" displayFolder="" count="2" memberValueDatatype="130" unbalanced="0">
      <fieldsUsage count="2">
        <fieldUsage x="-1"/>
        <fieldUsage x="3"/>
      </fieldsUsage>
    </cacheHierarchy>
    <cacheHierarchy uniqueName="[PipelineTable].[Country]" caption="Country" attribute="1" defaultMemberUniqueName="[PipelineTable].[Country].[All]" allUniqueName="[PipelineTable].[Country].[All]" dimensionUniqueName="[PipelineTable]" displayFolder="" count="0" memberValueDatatype="130" unbalanced="0"/>
    <cacheHierarchy uniqueName="[PipelineTable].[Contact Person]" caption="Contact Person" attribute="1" defaultMemberUniqueName="[PipelineTable].[Contact Person].[All]" allUniqueName="[PipelineTable].[Contact Person].[All]" dimensionUniqueName="[PipelineTable]" displayFolder="" count="0" memberValueDatatype="130" unbalanced="0"/>
    <cacheHierarchy uniqueName="[PipelineTable].[Lead Source]" caption="Lead Source" attribute="1" defaultMemberUniqueName="[PipelineTable].[Lead Source].[All]" allUniqueName="[PipelineTable].[Lead Source].[All]" dimensionUniqueName="[PipelineTable]" displayFolder="" count="0" memberValueDatatype="130" unbalanced="0"/>
    <cacheHierarchy uniqueName="[PipelineTable].[Opportunity Value]" caption="Opportunity Value" attribute="1" defaultMemberUniqueName="[PipelineTable].[Opportunity Value].[All]" allUniqueName="[PipelineTable].[Opportunity Value].[All]" dimensionUniqueName="[PipelineTable]" displayFolder="" count="0" memberValueDatatype="20" unbalanced="0"/>
    <cacheHierarchy uniqueName="[PipelineTable].[Stage]" caption="Stage" attribute="1" defaultMemberUniqueName="[PipelineTable].[Stage].[All]" allUniqueName="[PipelineTable].[Stage].[All]" dimensionUniqueName="[PipelineTable]" displayFolder="" count="0" memberValueDatatype="130" unbalanced="0"/>
    <cacheHierarchy uniqueName="[PipelineTable].[Probability %]" caption="Probability %" attribute="1" defaultMemberUniqueName="[PipelineTable].[Probability %].[All]" allUniqueName="[PipelineTable].[Probability %].[All]" dimensionUniqueName="[PipelineTable]" displayFolder="" count="0" memberValueDatatype="20" unbalanced="0"/>
    <cacheHierarchy uniqueName="[PipelineTable].[Weighted Pipeline]" caption="Weighted Pipeline" attribute="1" defaultMemberUniqueName="[PipelineTable].[Weighted Pipeline].[All]" allUniqueName="[PipelineTable].[Weighted Pipeline].[All]" dimensionUniqueName="[PipelineTable]" displayFolder="" count="0" memberValueDatatype="130" unbalanced="0"/>
    <cacheHierarchy uniqueName="[PipelineTable].[Expected Close Date]" caption="Expected Close Date" attribute="1" defaultMemberUniqueName="[PipelineTable].[Expected Close Date].[All]" allUniqueName="[PipelineTable].[Expected Close Date].[All]" dimensionUniqueName="[PipelineTable]" displayFolder="" count="0" memberValueDatatype="130" unbalanced="0"/>
    <cacheHierarchy uniqueName="[PipelineTable].[Competitor]" caption="Competitor" attribute="1" defaultMemberUniqueName="[PipelineTable].[Competitor].[All]" allUniqueName="[PipelineTable].[Competitor].[All]" dimensionUniqueName="[PipelineTable]" displayFolder="" count="2" memberValueDatatype="130" unbalanced="0">
      <fieldsUsage count="2">
        <fieldUsage x="-1"/>
        <fieldUsage x="1"/>
      </fieldsUsage>
    </cacheHierarchy>
    <cacheHierarchy uniqueName="[PipelineTable].[Next Action]" caption="Next Action" attribute="1" defaultMemberUniqueName="[PipelineTable].[Next Action].[All]" allUniqueName="[PipelineTable].[Next Action].[All]" dimensionUniqueName="[PipelineTable]" displayFolder="" count="0" memberValueDatatype="130" unbalanced="0"/>
    <cacheHierarchy uniqueName="[PipelineTable].[Sales Owner]" caption="Sales Owner" attribute="1" defaultMemberUniqueName="[PipelineTable].[Sales Owner].[All]" allUniqueName="[PipelineTable].[Sales Owner].[All]" dimensionUniqueName="[PipelineTable]" displayFolder="" count="0" memberValueDatatype="130" unbalanced="0"/>
    <cacheHierarchy uniqueName="[PipelineTable].[Status]" caption="Status" attribute="1" defaultMemberUniqueName="[PipelineTable].[Status].[All]" allUniqueName="[PipelineTable].[Status].[All]" dimensionUniqueName="[PipelineTable]" displayFolder="" count="0" memberValueDatatype="130" unbalanced="0"/>
    <cacheHierarchy uniqueName="[Measures].[Count of Weighted Pipeline]" caption="Count of Weighted Pipeline" measure="1" displayFolder="" measureGroup="PipelineTable" count="0">
      <extLst>
        <ext xmlns:x15="http://schemas.microsoft.com/office/spreadsheetml/2010/11/main" uri="{B97F6D7D-B522-45F9-BDA1-12C45D357490}">
          <x15:cacheHierarchy aggregatedColumn="21"/>
        </ext>
      </extLst>
    </cacheHierarchy>
    <cacheHierarchy uniqueName="[Measures].[Sum of Opportunity Value]" caption="Sum of Opportunity Value" measure="1" displayFolder="" measureGroup="PipelineTable" count="0">
      <extLst>
        <ext xmlns:x15="http://schemas.microsoft.com/office/spreadsheetml/2010/11/main" uri="{B97F6D7D-B522-45F9-BDA1-12C45D357490}">
          <x15:cacheHierarchy aggregatedColumn="18"/>
        </ext>
      </extLst>
    </cacheHierarchy>
    <cacheHierarchy uniqueName="[Measures].[Sum of Probability %]" caption="Sum of Probability %" measure="1" displayFolder="" measureGroup="PipelineTable" count="0" oneField="1">
      <fieldsUsage count="1">
        <fieldUsage x="0"/>
      </fieldsUsage>
      <extLst>
        <ext xmlns:x15="http://schemas.microsoft.com/office/spreadsheetml/2010/11/main" uri="{B97F6D7D-B522-45F9-BDA1-12C45D357490}">
          <x15:cacheHierarchy aggregatedColumn="20"/>
        </ext>
      </extLst>
    </cacheHierarchy>
    <cacheHierarchy uniqueName="[Measures].[Count of Action Items]" caption="Count of Action Items" measure="1" displayFolder="" measureGroup="MeetingsTable" count="0">
      <extLst>
        <ext xmlns:x15="http://schemas.microsoft.com/office/spreadsheetml/2010/11/main" uri="{B97F6D7D-B522-45F9-BDA1-12C45D357490}">
          <x15:cacheHierarchy aggregatedColumn="9"/>
        </ext>
      </extLst>
    </cacheHierarchy>
    <cacheHierarchy uniqueName="[Measures].[Count of Owner]" caption="Count of Owner" measure="1" displayFolder="" measureGroup="MeetingsTable" count="0">
      <extLst>
        <ext xmlns:x15="http://schemas.microsoft.com/office/spreadsheetml/2010/11/main" uri="{B97F6D7D-B522-45F9-BDA1-12C45D357490}">
          <x15:cacheHierarchy aggregatedColumn="10"/>
        </ext>
      </extLst>
    </cacheHierarchy>
    <cacheHierarchy uniqueName="[Measures].[Count of Discussion Summary]" caption="Count of Discussion Summary" measure="1" displayFolder="" measureGroup="MeetingsTable" count="0">
      <extLst>
        <ext xmlns:x15="http://schemas.microsoft.com/office/spreadsheetml/2010/11/main" uri="{B97F6D7D-B522-45F9-BDA1-12C45D357490}">
          <x15:cacheHierarchy aggregatedColumn="8"/>
        </ext>
      </extLst>
    </cacheHierarchy>
    <cacheHierarchy uniqueName="[Measures].[Count of Customer]" caption="Count of Customer" measure="1" displayFolder="" measureGroup="MeetingsTable" count="0">
      <extLst>
        <ext xmlns:x15="http://schemas.microsoft.com/office/spreadsheetml/2010/11/main" uri="{B97F6D7D-B522-45F9-BDA1-12C45D357490}">
          <x15:cacheHierarchy aggregatedColumn="7"/>
        </ext>
      </extLst>
    </cacheHierarchy>
    <cacheHierarchy uniqueName="[Measures].[Distinct Count of Action Items]" caption="Distinct Count of Action Items" measure="1" displayFolder="" measureGroup="MeetingsTable" count="0">
      <extLst>
        <ext xmlns:x15="http://schemas.microsoft.com/office/spreadsheetml/2010/11/main" uri="{B97F6D7D-B522-45F9-BDA1-12C45D357490}">
          <x15:cacheHierarchy aggregatedColumn="9"/>
        </ext>
      </extLst>
    </cacheHierarchy>
    <cacheHierarchy uniqueName="[Measures].[__XL_Count PipelineTable]" caption="__XL_Count PipelineTable" measure="1" displayFolder="" measureGroup="PipelineTable" count="0" hidden="1"/>
    <cacheHierarchy uniqueName="[Measures].[__XL_Count MeetingsTable]" caption="__XL_Count MeetingsTable" measure="1" displayFolder="" measureGroup="MeetingsTable" count="0" hidden="1"/>
    <cacheHierarchy uniqueName="[Measures].[__XL_Count ForecastTable]" caption="__XL_Count ForecastTable" measure="1" displayFolder="" measureGroup="ForecastTable" count="0" hidden="1"/>
    <cacheHierarchy uniqueName="[Measures].[__XL_Count of Models]" caption="__XL_Count of Models" measure="1" displayFolder="" count="0" hidden="1"/>
  </cacheHierarchies>
  <kpis count="0"/>
  <dimensions count="4">
    <dimension name="ForecastTable" uniqueName="[ForecastTable]" caption="ForecastTable"/>
    <dimension measure="1" name="Measures" uniqueName="[Measures]" caption="Measures"/>
    <dimension name="MeetingsTable" uniqueName="[MeetingsTable]" caption="MeetingsTable"/>
    <dimension name="PipelineTable" uniqueName="[PipelineTable]" caption="PipelineTable"/>
  </dimensions>
  <measureGroups count="3">
    <measureGroup name="ForecastTable" caption="ForecastTable"/>
    <measureGroup name="MeetingsTable" caption="MeetingsTable"/>
    <measureGroup name="PipelineTable" caption="Pipeline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195.496855902777" backgroundQuery="1" createdVersion="5" refreshedVersion="5" minRefreshableVersion="3" recordCount="0" supportSubquery="1" supportAdvancedDrill="1">
  <cacheSource type="external" connectionId="6"/>
  <cacheFields count="5">
    <cacheField name="[Measures].[Count of Action Items]" caption="Count of Action Items" numFmtId="0" hierarchy="30" level="32767"/>
    <cacheField name="[MeetingsTable].[Owner].[Owner]" caption="Owner" numFmtId="0" hierarchy="10" level="1">
      <sharedItems count="3">
        <s v="Owner 1"/>
        <s v="Owner 2"/>
        <s v="Owner 3"/>
      </sharedItems>
    </cacheField>
    <cacheField name="[MeetingsTable].[Customer].[Customer]" caption="Customer" numFmtId="0" hierarchy="7" level="1">
      <sharedItems count="10">
        <s v="Alpha Corp"/>
        <s v="Beta Ltd"/>
        <s v="Delta Pvt"/>
        <s v="Epsilon Co"/>
        <s v="Eta Partners"/>
        <s v="Gamma Inc"/>
        <s v="Iota Ltd"/>
        <s v="Kappa Inc"/>
        <s v="Theta Corp"/>
        <s v="Zeta Systems"/>
      </sharedItems>
    </cacheField>
    <cacheField name="[MeetingsTable].[Discussion Summary].[Discussion Summary]" caption="Discussion Summary" numFmtId="0" hierarchy="8" level="1">
      <sharedItems containsSemiMixedTypes="0" containsNonDate="0" containsString="0"/>
    </cacheField>
    <cacheField name="[PipelineTable].[Industry].[Industry]" caption="Industry" numFmtId="0" hierarchy="14" level="1">
      <sharedItems containsSemiMixedTypes="0" containsNonDate="0" containsString="0"/>
    </cacheField>
  </cacheFields>
  <cacheHierarchies count="39">
    <cacheHierarchy uniqueName="[ForecastTable].[Month]" caption="Month" attribute="1" defaultMemberUniqueName="[ForecastTable].[Month].[All]" allUniqueName="[ForecastTable].[Month].[All]" dimensionUniqueName="[ForecastTable]" displayFolder="" count="0" memberValueDatatype="130" unbalanced="0"/>
    <cacheHierarchy uniqueName="[ForecastTable].[Pipeline Value]" caption="Pipeline Value" attribute="1" defaultMemberUniqueName="[ForecastTable].[Pipeline Value].[All]" allUniqueName="[ForecastTable].[Pipeline Value].[All]" dimensionUniqueName="[ForecastTable]" displayFolder="" count="0" memberValueDatatype="20" unbalanced="0"/>
    <cacheHierarchy uniqueName="[ForecastTable].[Weighted Pipeline]" caption="Weighted Pipeline" attribute="1" defaultMemberUniqueName="[ForecastTable].[Weighted Pipeline].[All]" allUniqueName="[ForecastTable].[Weighted Pipeline].[All]" dimensionUniqueName="[ForecastTable]" displayFolder="" count="0" memberValueDatatype="20" unbalanced="0"/>
    <cacheHierarchy uniqueName="[ForecastTable].[Closed Won]" caption="Closed Won" attribute="1" defaultMemberUniqueName="[ForecastTable].[Closed Won].[All]" allUniqueName="[ForecastTable].[Closed Won].[All]" dimensionUniqueName="[ForecastTable]" displayFolder="" count="0" memberValueDatatype="20" unbalanced="0"/>
    <cacheHierarchy uniqueName="[ForecastTable].[Target]" caption="Target" attribute="1" defaultMemberUniqueName="[ForecastTable].[Target].[All]" allUniqueName="[ForecastTable].[Target].[All]" dimensionUniqueName="[ForecastTable]" displayFolder="" count="0" memberValueDatatype="20" unbalanced="0"/>
    <cacheHierarchy uniqueName="[ForecastTable].[Achievement %]" caption="Achievement %" attribute="1" defaultMemberUniqueName="[ForecastTable].[Achievement %].[All]" allUniqueName="[ForecastTable].[Achievement %].[All]" dimensionUniqueName="[ForecastTable]" displayFolder="" count="0" memberValueDatatype="5" unbalanced="0"/>
    <cacheHierarchy uniqueName="[MeetingsTable].[Date]" caption="Date" attribute="1" time="1" defaultMemberUniqueName="[MeetingsTable].[Date].[All]" allUniqueName="[MeetingsTable].[Date].[All]" dimensionUniqueName="[MeetingsTable]" displayFolder="" count="2" memberValueDatatype="7" unbalanced="0"/>
    <cacheHierarchy uniqueName="[MeetingsTable].[Customer]" caption="Customer" attribute="1" defaultMemberUniqueName="[MeetingsTable].[Customer].[All]" allUniqueName="[MeetingsTable].[Customer].[All]" dimensionUniqueName="[MeetingsTable]" displayFolder="" count="2" memberValueDatatype="130" unbalanced="0">
      <fieldsUsage count="2">
        <fieldUsage x="-1"/>
        <fieldUsage x="2"/>
      </fieldsUsage>
    </cacheHierarchy>
    <cacheHierarchy uniqueName="[MeetingsTable].[Discussion Summary]" caption="Discussion Summary" attribute="1" defaultMemberUniqueName="[MeetingsTable].[Discussion Summary].[All]" allUniqueName="[MeetingsTable].[Discussion Summary].[All]" dimensionUniqueName="[MeetingsTable]" displayFolder="" count="2" memberValueDatatype="130" unbalanced="0">
      <fieldsUsage count="2">
        <fieldUsage x="-1"/>
        <fieldUsage x="3"/>
      </fieldsUsage>
    </cacheHierarchy>
    <cacheHierarchy uniqueName="[MeetingsTable].[Action Items]" caption="Action Items" attribute="1" defaultMemberUniqueName="[MeetingsTable].[Action Items].[All]" allUniqueName="[MeetingsTable].[Action Items].[All]" dimensionUniqueName="[MeetingsTable]" displayFolder="" count="0" memberValueDatatype="130" unbalanced="0"/>
    <cacheHierarchy uniqueName="[MeetingsTable].[Owner]" caption="Owner" attribute="1" defaultMemberUniqueName="[MeetingsTable].[Owner].[All]" allUniqueName="[MeetingsTable].[Owner].[All]" dimensionUniqueName="[MeetingsTable]" displayFolder="" count="2" memberValueDatatype="130" unbalanced="0">
      <fieldsUsage count="2">
        <fieldUsage x="-1"/>
        <fieldUsage x="1"/>
      </fieldsUsage>
    </cacheHierarchy>
    <cacheHierarchy uniqueName="[MeetingsTable].[Due Date]" caption="Due Date" attribute="1" time="1" defaultMemberUniqueName="[MeetingsTable].[Due Date].[All]" allUniqueName="[MeetingsTable].[Due Date].[All]" dimensionUniqueName="[MeetingsTable]" displayFolder="" count="0" memberValueDatatype="7" unbalanced="0"/>
    <cacheHierarchy uniqueName="[PipelineTable].[Opportunity ID]" caption="Opportunity ID" attribute="1" defaultMemberUniqueName="[PipelineTable].[Opportunity ID].[All]" allUniqueName="[PipelineTable].[Opportunity ID].[All]" dimensionUniqueName="[PipelineTable]" displayFolder="" count="0" memberValueDatatype="130" unbalanced="0"/>
    <cacheHierarchy uniqueName="[PipelineTable].[Customer Name]" caption="Customer Name" attribute="1" defaultMemberUniqueName="[PipelineTable].[Customer Name].[All]" allUniqueName="[PipelineTable].[Customer Name].[All]" dimensionUniqueName="[PipelineTable]" displayFolder="" count="0" memberValueDatatype="130" unbalanced="0"/>
    <cacheHierarchy uniqueName="[PipelineTable].[Industry]" caption="Industry" attribute="1" defaultMemberUniqueName="[PipelineTable].[Industry].[All]" allUniqueName="[PipelineTable].[Industry].[All]" dimensionUniqueName="[PipelineTable]" displayFolder="" count="2" memberValueDatatype="130" unbalanced="0">
      <fieldsUsage count="2">
        <fieldUsage x="-1"/>
        <fieldUsage x="4"/>
      </fieldsUsage>
    </cacheHierarchy>
    <cacheHierarchy uniqueName="[PipelineTable].[Country]" caption="Country" attribute="1" defaultMemberUniqueName="[PipelineTable].[Country].[All]" allUniqueName="[PipelineTable].[Country].[All]" dimensionUniqueName="[PipelineTable]" displayFolder="" count="0" memberValueDatatype="130" unbalanced="0"/>
    <cacheHierarchy uniqueName="[PipelineTable].[Contact Person]" caption="Contact Person" attribute="1" defaultMemberUniqueName="[PipelineTable].[Contact Person].[All]" allUniqueName="[PipelineTable].[Contact Person].[All]" dimensionUniqueName="[PipelineTable]" displayFolder="" count="0" memberValueDatatype="130" unbalanced="0"/>
    <cacheHierarchy uniqueName="[PipelineTable].[Lead Source]" caption="Lead Source" attribute="1" defaultMemberUniqueName="[PipelineTable].[Lead Source].[All]" allUniqueName="[PipelineTable].[Lead Source].[All]" dimensionUniqueName="[PipelineTable]" displayFolder="" count="0" memberValueDatatype="130" unbalanced="0"/>
    <cacheHierarchy uniqueName="[PipelineTable].[Opportunity Value]" caption="Opportunity Value" attribute="1" defaultMemberUniqueName="[PipelineTable].[Opportunity Value].[All]" allUniqueName="[PipelineTable].[Opportunity Value].[All]" dimensionUniqueName="[PipelineTable]" displayFolder="" count="0" memberValueDatatype="20" unbalanced="0"/>
    <cacheHierarchy uniqueName="[PipelineTable].[Stage]" caption="Stage" attribute="1" defaultMemberUniqueName="[PipelineTable].[Stage].[All]" allUniqueName="[PipelineTable].[Stage].[All]" dimensionUniqueName="[PipelineTable]" displayFolder="" count="0" memberValueDatatype="130" unbalanced="0"/>
    <cacheHierarchy uniqueName="[PipelineTable].[Probability %]" caption="Probability %" attribute="1" defaultMemberUniqueName="[PipelineTable].[Probability %].[All]" allUniqueName="[PipelineTable].[Probability %].[All]" dimensionUniqueName="[PipelineTable]" displayFolder="" count="0" memberValueDatatype="20" unbalanced="0"/>
    <cacheHierarchy uniqueName="[PipelineTable].[Weighted Pipeline]" caption="Weighted Pipeline" attribute="1" defaultMemberUniqueName="[PipelineTable].[Weighted Pipeline].[All]" allUniqueName="[PipelineTable].[Weighted Pipeline].[All]" dimensionUniqueName="[PipelineTable]" displayFolder="" count="0" memberValueDatatype="130" unbalanced="0"/>
    <cacheHierarchy uniqueName="[PipelineTable].[Expected Close Date]" caption="Expected Close Date" attribute="1" defaultMemberUniqueName="[PipelineTable].[Expected Close Date].[All]" allUniqueName="[PipelineTable].[Expected Close Date].[All]" dimensionUniqueName="[PipelineTable]" displayFolder="" count="0" memberValueDatatype="130" unbalanced="0"/>
    <cacheHierarchy uniqueName="[PipelineTable].[Competitor]" caption="Competitor" attribute="1" defaultMemberUniqueName="[PipelineTable].[Competitor].[All]" allUniqueName="[PipelineTable].[Competitor].[All]" dimensionUniqueName="[PipelineTable]" displayFolder="" count="0" memberValueDatatype="130" unbalanced="0"/>
    <cacheHierarchy uniqueName="[PipelineTable].[Next Action]" caption="Next Action" attribute="1" defaultMemberUniqueName="[PipelineTable].[Next Action].[All]" allUniqueName="[PipelineTable].[Next Action].[All]" dimensionUniqueName="[PipelineTable]" displayFolder="" count="0" memberValueDatatype="130" unbalanced="0"/>
    <cacheHierarchy uniqueName="[PipelineTable].[Sales Owner]" caption="Sales Owner" attribute="1" defaultMemberUniqueName="[PipelineTable].[Sales Owner].[All]" allUniqueName="[PipelineTable].[Sales Owner].[All]" dimensionUniqueName="[PipelineTable]" displayFolder="" count="0" memberValueDatatype="130" unbalanced="0"/>
    <cacheHierarchy uniqueName="[PipelineTable].[Status]" caption="Status" attribute="1" defaultMemberUniqueName="[PipelineTable].[Status].[All]" allUniqueName="[PipelineTable].[Status].[All]" dimensionUniqueName="[PipelineTable]" displayFolder="" count="0" memberValueDatatype="130" unbalanced="0"/>
    <cacheHierarchy uniqueName="[Measures].[Count of Weighted Pipeline]" caption="Count of Weighted Pipeline" measure="1" displayFolder="" measureGroup="PipelineTable" count="0">
      <extLst>
        <ext xmlns:x15="http://schemas.microsoft.com/office/spreadsheetml/2010/11/main" uri="{B97F6D7D-B522-45F9-BDA1-12C45D357490}">
          <x15:cacheHierarchy aggregatedColumn="21"/>
        </ext>
      </extLst>
    </cacheHierarchy>
    <cacheHierarchy uniqueName="[Measures].[Sum of Opportunity Value]" caption="Sum of Opportunity Value" measure="1" displayFolder="" measureGroup="PipelineTable" count="0">
      <extLst>
        <ext xmlns:x15="http://schemas.microsoft.com/office/spreadsheetml/2010/11/main" uri="{B97F6D7D-B522-45F9-BDA1-12C45D357490}">
          <x15:cacheHierarchy aggregatedColumn="18"/>
        </ext>
      </extLst>
    </cacheHierarchy>
    <cacheHierarchy uniqueName="[Measures].[Sum of Probability %]" caption="Sum of Probability %" measure="1" displayFolder="" measureGroup="PipelineTable" count="0">
      <extLst>
        <ext xmlns:x15="http://schemas.microsoft.com/office/spreadsheetml/2010/11/main" uri="{B97F6D7D-B522-45F9-BDA1-12C45D357490}">
          <x15:cacheHierarchy aggregatedColumn="20"/>
        </ext>
      </extLst>
    </cacheHierarchy>
    <cacheHierarchy uniqueName="[Measures].[Count of Action Items]" caption="Count of Action Items" measure="1" displayFolder="" measureGroup="MeetingsTable" count="0" oneField="1">
      <fieldsUsage count="1">
        <fieldUsage x="0"/>
      </fieldsUsage>
      <extLst>
        <ext xmlns:x15="http://schemas.microsoft.com/office/spreadsheetml/2010/11/main" uri="{B97F6D7D-B522-45F9-BDA1-12C45D357490}">
          <x15:cacheHierarchy aggregatedColumn="9"/>
        </ext>
      </extLst>
    </cacheHierarchy>
    <cacheHierarchy uniqueName="[Measures].[Count of Owner]" caption="Count of Owner" measure="1" displayFolder="" measureGroup="MeetingsTable" count="0">
      <extLst>
        <ext xmlns:x15="http://schemas.microsoft.com/office/spreadsheetml/2010/11/main" uri="{B97F6D7D-B522-45F9-BDA1-12C45D357490}">
          <x15:cacheHierarchy aggregatedColumn="10"/>
        </ext>
      </extLst>
    </cacheHierarchy>
    <cacheHierarchy uniqueName="[Measures].[Count of Discussion Summary]" caption="Count of Discussion Summary" measure="1" displayFolder="" measureGroup="MeetingsTable" count="0">
      <extLst>
        <ext xmlns:x15="http://schemas.microsoft.com/office/spreadsheetml/2010/11/main" uri="{B97F6D7D-B522-45F9-BDA1-12C45D357490}">
          <x15:cacheHierarchy aggregatedColumn="8"/>
        </ext>
      </extLst>
    </cacheHierarchy>
    <cacheHierarchy uniqueName="[Measures].[Count of Customer]" caption="Count of Customer" measure="1" displayFolder="" measureGroup="MeetingsTable" count="0">
      <extLst>
        <ext xmlns:x15="http://schemas.microsoft.com/office/spreadsheetml/2010/11/main" uri="{B97F6D7D-B522-45F9-BDA1-12C45D357490}">
          <x15:cacheHierarchy aggregatedColumn="7"/>
        </ext>
      </extLst>
    </cacheHierarchy>
    <cacheHierarchy uniqueName="[Measures].[Distinct Count of Action Items]" caption="Distinct Count of Action Items" measure="1" displayFolder="" measureGroup="MeetingsTable" count="0">
      <extLst>
        <ext xmlns:x15="http://schemas.microsoft.com/office/spreadsheetml/2010/11/main" uri="{B97F6D7D-B522-45F9-BDA1-12C45D357490}">
          <x15:cacheHierarchy aggregatedColumn="9"/>
        </ext>
      </extLst>
    </cacheHierarchy>
    <cacheHierarchy uniqueName="[Measures].[__XL_Count PipelineTable]" caption="__XL_Count PipelineTable" measure="1" displayFolder="" measureGroup="PipelineTable" count="0" hidden="1"/>
    <cacheHierarchy uniqueName="[Measures].[__XL_Count MeetingsTable]" caption="__XL_Count MeetingsTable" measure="1" displayFolder="" measureGroup="MeetingsTable" count="0" hidden="1"/>
    <cacheHierarchy uniqueName="[Measures].[__XL_Count ForecastTable]" caption="__XL_Count ForecastTable" measure="1" displayFolder="" measureGroup="ForecastTable" count="0" hidden="1"/>
    <cacheHierarchy uniqueName="[Measures].[__XL_Count of Models]" caption="__XL_Count of Models" measure="1" displayFolder="" count="0" hidden="1"/>
  </cacheHierarchies>
  <kpis count="0"/>
  <dimensions count="4">
    <dimension name="ForecastTable" uniqueName="[ForecastTable]" caption="ForecastTable"/>
    <dimension measure="1" name="Measures" uniqueName="[Measures]" caption="Measures"/>
    <dimension name="MeetingsTable" uniqueName="[MeetingsTable]" caption="MeetingsTable"/>
    <dimension name="PipelineTable" uniqueName="[PipelineTable]" caption="PipelineTable"/>
  </dimensions>
  <measureGroups count="3">
    <measureGroup name="ForecastTable" caption="ForecastTable"/>
    <measureGroup name="MeetingsTable" caption="MeetingsTable"/>
    <measureGroup name="PipelineTable" caption="Pipeline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195.478670833334" backgroundQuery="1" createdVersion="3" refreshedVersion="5" minRefreshableVersion="3" recordCount="0" supportSubquery="1" supportAdvancedDrill="1">
  <cacheSource type="external" connectionId="6">
    <extLst>
      <ext xmlns:x14="http://schemas.microsoft.com/office/spreadsheetml/2009/9/main" uri="{F057638F-6D5F-4e77-A914-E7F072B9BCA8}">
        <x14:sourceConnection name="ThisWorkbookDataModel"/>
      </ext>
    </extLst>
  </cacheSource>
  <cacheFields count="0"/>
  <cacheHierarchies count="39">
    <cacheHierarchy uniqueName="[ForecastTable].[Month]" caption="Month" attribute="1" defaultMemberUniqueName="[ForecastTable].[Month].[All]" allUniqueName="[ForecastTable].[Month].[All]" dimensionUniqueName="[ForecastTable]" displayFolder="" count="0" memberValueDatatype="130" unbalanced="0"/>
    <cacheHierarchy uniqueName="[ForecastTable].[Pipeline Value]" caption="Pipeline Value" attribute="1" defaultMemberUniqueName="[ForecastTable].[Pipeline Value].[All]" allUniqueName="[ForecastTable].[Pipeline Value].[All]" dimensionUniqueName="[ForecastTable]" displayFolder="" count="0" memberValueDatatype="20" unbalanced="0"/>
    <cacheHierarchy uniqueName="[ForecastTable].[Weighted Pipeline]" caption="Weighted Pipeline" attribute="1" defaultMemberUniqueName="[ForecastTable].[Weighted Pipeline].[All]" allUniqueName="[ForecastTable].[Weighted Pipeline].[All]" dimensionUniqueName="[ForecastTable]" displayFolder="" count="0" memberValueDatatype="20" unbalanced="0"/>
    <cacheHierarchy uniqueName="[ForecastTable].[Closed Won]" caption="Closed Won" attribute="1" defaultMemberUniqueName="[ForecastTable].[Closed Won].[All]" allUniqueName="[ForecastTable].[Closed Won].[All]" dimensionUniqueName="[ForecastTable]" displayFolder="" count="0" memberValueDatatype="20" unbalanced="0"/>
    <cacheHierarchy uniqueName="[ForecastTable].[Target]" caption="Target" attribute="1" defaultMemberUniqueName="[ForecastTable].[Target].[All]" allUniqueName="[ForecastTable].[Target].[All]" dimensionUniqueName="[ForecastTable]" displayFolder="" count="0" memberValueDatatype="20" unbalanced="0"/>
    <cacheHierarchy uniqueName="[ForecastTable].[Achievement %]" caption="Achievement %" attribute="1" defaultMemberUniqueName="[ForecastTable].[Achievement %].[All]" allUniqueName="[ForecastTable].[Achievement %].[All]" dimensionUniqueName="[ForecastTable]" displayFolder="" count="0" memberValueDatatype="5" unbalanced="0"/>
    <cacheHierarchy uniqueName="[MeetingsTable].[Date]" caption="Date" attribute="1" time="1" defaultMemberUniqueName="[MeetingsTable].[Date].[All]" allUniqueName="[MeetingsTable].[Date].[All]" dimensionUniqueName="[MeetingsTable]" displayFolder="" count="2" memberValueDatatype="7" unbalanced="0"/>
    <cacheHierarchy uniqueName="[MeetingsTable].[Customer]" caption="Customer" attribute="1" defaultMemberUniqueName="[MeetingsTable].[Customer].[All]" allUniqueName="[MeetingsTable].[Customer].[All]" dimensionUniqueName="[MeetingsTable]" displayFolder="" count="0" memberValueDatatype="130" unbalanced="0"/>
    <cacheHierarchy uniqueName="[MeetingsTable].[Discussion Summary]" caption="Discussion Summary" attribute="1" defaultMemberUniqueName="[MeetingsTable].[Discussion Summary].[All]" allUniqueName="[MeetingsTable].[Discussion Summary].[All]" dimensionUniqueName="[MeetingsTable]" displayFolder="" count="0" memberValueDatatype="130" unbalanced="0"/>
    <cacheHierarchy uniqueName="[MeetingsTable].[Action Items]" caption="Action Items" attribute="1" defaultMemberUniqueName="[MeetingsTable].[Action Items].[All]" allUniqueName="[MeetingsTable].[Action Items].[All]" dimensionUniqueName="[MeetingsTable]" displayFolder="" count="0" memberValueDatatype="130" unbalanced="0"/>
    <cacheHierarchy uniqueName="[MeetingsTable].[Owner]" caption="Owner" attribute="1" defaultMemberUniqueName="[MeetingsTable].[Owner].[All]" allUniqueName="[MeetingsTable].[Owner].[All]" dimensionUniqueName="[MeetingsTable]" displayFolder="" count="0" memberValueDatatype="130" unbalanced="0"/>
    <cacheHierarchy uniqueName="[MeetingsTable].[Due Date]" caption="Due Date" attribute="1" time="1" defaultMemberUniqueName="[MeetingsTable].[Due Date].[All]" allUniqueName="[MeetingsTable].[Due Date].[All]" dimensionUniqueName="[MeetingsTable]" displayFolder="" count="0" memberValueDatatype="7" unbalanced="0"/>
    <cacheHierarchy uniqueName="[PipelineTable].[Opportunity ID]" caption="Opportunity ID" attribute="1" defaultMemberUniqueName="[PipelineTable].[Opportunity ID].[All]" allUniqueName="[PipelineTable].[Opportunity ID].[All]" dimensionUniqueName="[PipelineTable]" displayFolder="" count="0" memberValueDatatype="130" unbalanced="0"/>
    <cacheHierarchy uniqueName="[PipelineTable].[Customer Name]" caption="Customer Name" attribute="1" defaultMemberUniqueName="[PipelineTable].[Customer Name].[All]" allUniqueName="[PipelineTable].[Customer Name].[All]" dimensionUniqueName="[PipelineTable]" displayFolder="" count="0" memberValueDatatype="130" unbalanced="0"/>
    <cacheHierarchy uniqueName="[PipelineTable].[Industry]" caption="Industry" attribute="1" defaultMemberUniqueName="[PipelineTable].[Industry].[All]" allUniqueName="[PipelineTable].[Industry].[All]" dimensionUniqueName="[PipelineTable]" displayFolder="" count="2" memberValueDatatype="130" unbalanced="0"/>
    <cacheHierarchy uniqueName="[PipelineTable].[Country]" caption="Country" attribute="1" defaultMemberUniqueName="[PipelineTable].[Country].[All]" allUniqueName="[PipelineTable].[Country].[All]" dimensionUniqueName="[PipelineTable]" displayFolder="" count="0" memberValueDatatype="130" unbalanced="0"/>
    <cacheHierarchy uniqueName="[PipelineTable].[Contact Person]" caption="Contact Person" attribute="1" defaultMemberUniqueName="[PipelineTable].[Contact Person].[All]" allUniqueName="[PipelineTable].[Contact Person].[All]" dimensionUniqueName="[PipelineTable]" displayFolder="" count="0" memberValueDatatype="130" unbalanced="0"/>
    <cacheHierarchy uniqueName="[PipelineTable].[Lead Source]" caption="Lead Source" attribute="1" defaultMemberUniqueName="[PipelineTable].[Lead Source].[All]" allUniqueName="[PipelineTable].[Lead Source].[All]" dimensionUniqueName="[PipelineTable]" displayFolder="" count="0" memberValueDatatype="130" unbalanced="0"/>
    <cacheHierarchy uniqueName="[PipelineTable].[Opportunity Value]" caption="Opportunity Value" attribute="1" defaultMemberUniqueName="[PipelineTable].[Opportunity Value].[All]" allUniqueName="[PipelineTable].[Opportunity Value].[All]" dimensionUniqueName="[PipelineTable]" displayFolder="" count="0" memberValueDatatype="20" unbalanced="0"/>
    <cacheHierarchy uniqueName="[PipelineTable].[Stage]" caption="Stage" attribute="1" defaultMemberUniqueName="[PipelineTable].[Stage].[All]" allUniqueName="[PipelineTable].[Stage].[All]" dimensionUniqueName="[PipelineTable]" displayFolder="" count="0" memberValueDatatype="130" unbalanced="0"/>
    <cacheHierarchy uniqueName="[PipelineTable].[Probability %]" caption="Probability %" attribute="1" defaultMemberUniqueName="[PipelineTable].[Probability %].[All]" allUniqueName="[PipelineTable].[Probability %].[All]" dimensionUniqueName="[PipelineTable]" displayFolder="" count="0" memberValueDatatype="20" unbalanced="0"/>
    <cacheHierarchy uniqueName="[PipelineTable].[Weighted Pipeline]" caption="Weighted Pipeline" attribute="1" defaultMemberUniqueName="[PipelineTable].[Weighted Pipeline].[All]" allUniqueName="[PipelineTable].[Weighted Pipeline].[All]" dimensionUniqueName="[PipelineTable]" displayFolder="" count="0" memberValueDatatype="130" unbalanced="0"/>
    <cacheHierarchy uniqueName="[PipelineTable].[Expected Close Date]" caption="Expected Close Date" attribute="1" defaultMemberUniqueName="[PipelineTable].[Expected Close Date].[All]" allUniqueName="[PipelineTable].[Expected Close Date].[All]" dimensionUniqueName="[PipelineTable]" displayFolder="" count="0" memberValueDatatype="130" unbalanced="0"/>
    <cacheHierarchy uniqueName="[PipelineTable].[Competitor]" caption="Competitor" attribute="1" defaultMemberUniqueName="[PipelineTable].[Competitor].[All]" allUniqueName="[PipelineTable].[Competitor].[All]" dimensionUniqueName="[PipelineTable]" displayFolder="" count="0" memberValueDatatype="130" unbalanced="0"/>
    <cacheHierarchy uniqueName="[PipelineTable].[Next Action]" caption="Next Action" attribute="1" defaultMemberUniqueName="[PipelineTable].[Next Action].[All]" allUniqueName="[PipelineTable].[Next Action].[All]" dimensionUniqueName="[PipelineTable]" displayFolder="" count="0" memberValueDatatype="130" unbalanced="0"/>
    <cacheHierarchy uniqueName="[PipelineTable].[Sales Owner]" caption="Sales Owner" attribute="1" defaultMemberUniqueName="[PipelineTable].[Sales Owner].[All]" allUniqueName="[PipelineTable].[Sales Owner].[All]" dimensionUniqueName="[PipelineTable]" displayFolder="" count="0" memberValueDatatype="130" unbalanced="0"/>
    <cacheHierarchy uniqueName="[PipelineTable].[Status]" caption="Status" attribute="1" defaultMemberUniqueName="[PipelineTable].[Status].[All]" allUniqueName="[PipelineTable].[Status].[All]" dimensionUniqueName="[PipelineTable]" displayFolder="" count="0" memberValueDatatype="130" unbalanced="0"/>
    <cacheHierarchy uniqueName="[Measures].[Count of Weighted Pipeline]" caption="Count of Weighted Pipeline" measure="1" displayFolder="" measureGroup="PipelineTable" count="0">
      <extLst>
        <ext xmlns:x15="http://schemas.microsoft.com/office/spreadsheetml/2010/11/main" uri="{B97F6D7D-B522-45F9-BDA1-12C45D357490}">
          <x15:cacheHierarchy aggregatedColumn="21"/>
        </ext>
      </extLst>
    </cacheHierarchy>
    <cacheHierarchy uniqueName="[Measures].[Sum of Opportunity Value]" caption="Sum of Opportunity Value" measure="1" displayFolder="" measureGroup="PipelineTable" count="0">
      <extLst>
        <ext xmlns:x15="http://schemas.microsoft.com/office/spreadsheetml/2010/11/main" uri="{B97F6D7D-B522-45F9-BDA1-12C45D357490}">
          <x15:cacheHierarchy aggregatedColumn="18"/>
        </ext>
      </extLst>
    </cacheHierarchy>
    <cacheHierarchy uniqueName="[Measures].[Sum of Probability %]" caption="Sum of Probability %" measure="1" displayFolder="" measureGroup="PipelineTable" count="0">
      <extLst>
        <ext xmlns:x15="http://schemas.microsoft.com/office/spreadsheetml/2010/11/main" uri="{B97F6D7D-B522-45F9-BDA1-12C45D357490}">
          <x15:cacheHierarchy aggregatedColumn="20"/>
        </ext>
      </extLst>
    </cacheHierarchy>
    <cacheHierarchy uniqueName="[Measures].[Count of Action Items]" caption="Count of Action Items" measure="1" displayFolder="" measureGroup="MeetingsTable" count="0">
      <extLst>
        <ext xmlns:x15="http://schemas.microsoft.com/office/spreadsheetml/2010/11/main" uri="{B97F6D7D-B522-45F9-BDA1-12C45D357490}">
          <x15:cacheHierarchy aggregatedColumn="9"/>
        </ext>
      </extLst>
    </cacheHierarchy>
    <cacheHierarchy uniqueName="[Measures].[Count of Owner]" caption="Count of Owner" measure="1" displayFolder="" measureGroup="MeetingsTable" count="0">
      <extLst>
        <ext xmlns:x15="http://schemas.microsoft.com/office/spreadsheetml/2010/11/main" uri="{B97F6D7D-B522-45F9-BDA1-12C45D357490}">
          <x15:cacheHierarchy aggregatedColumn="10"/>
        </ext>
      </extLst>
    </cacheHierarchy>
    <cacheHierarchy uniqueName="[Measures].[Count of Discussion Summary]" caption="Count of Discussion Summary" measure="1" displayFolder="" measureGroup="MeetingsTable" count="0">
      <extLst>
        <ext xmlns:x15="http://schemas.microsoft.com/office/spreadsheetml/2010/11/main" uri="{B97F6D7D-B522-45F9-BDA1-12C45D357490}">
          <x15:cacheHierarchy aggregatedColumn="8"/>
        </ext>
      </extLst>
    </cacheHierarchy>
    <cacheHierarchy uniqueName="[Measures].[Count of Customer]" caption="Count of Customer" measure="1" displayFolder="" measureGroup="MeetingsTable" count="0">
      <extLst>
        <ext xmlns:x15="http://schemas.microsoft.com/office/spreadsheetml/2010/11/main" uri="{B97F6D7D-B522-45F9-BDA1-12C45D357490}">
          <x15:cacheHierarchy aggregatedColumn="7"/>
        </ext>
      </extLst>
    </cacheHierarchy>
    <cacheHierarchy uniqueName="[Measures].[Distinct Count of Action Items]" caption="Distinct Count of Action Items" measure="1" displayFolder="" measureGroup="MeetingsTable" count="0">
      <extLst>
        <ext xmlns:x15="http://schemas.microsoft.com/office/spreadsheetml/2010/11/main" uri="{B97F6D7D-B522-45F9-BDA1-12C45D357490}">
          <x15:cacheHierarchy aggregatedColumn="9"/>
        </ext>
      </extLst>
    </cacheHierarchy>
    <cacheHierarchy uniqueName="[Measures].[__XL_Count PipelineTable]" caption="__XL_Count PipelineTable" measure="1" displayFolder="" measureGroup="PipelineTable" count="0" hidden="1"/>
    <cacheHierarchy uniqueName="[Measures].[__XL_Count MeetingsTable]" caption="__XL_Count MeetingsTable" measure="1" displayFolder="" measureGroup="MeetingsTable" count="0" hidden="1"/>
    <cacheHierarchy uniqueName="[Measures].[__XL_Count ForecastTable]" caption="__XL_Count ForecastTable" measure="1" displayFolder="" measureGroup="ForecastTable"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0">
  <r>
    <x v="0"/>
    <s v="North"/>
    <s v="Raj Sharma"/>
    <n v="66"/>
    <n v="4500000"/>
    <x v="0"/>
  </r>
  <r>
    <x v="1"/>
    <s v="West"/>
    <s v="Amit Patel"/>
    <n v="18"/>
    <n v="7200000"/>
    <x v="0"/>
  </r>
  <r>
    <x v="2"/>
    <s v="South"/>
    <s v="Priya Nair"/>
    <n v="10"/>
    <n v="3800000"/>
    <x v="0"/>
  </r>
  <r>
    <x v="3"/>
    <s v="East"/>
    <s v="Sandeep Roy"/>
    <n v="6"/>
    <n v="1800000"/>
    <x v="1"/>
  </r>
  <r>
    <x v="4"/>
    <s v="North"/>
    <s v="Mohit Verma"/>
    <n v="14"/>
    <n v="5500000"/>
    <x v="0"/>
  </r>
  <r>
    <x v="5"/>
    <s v="West"/>
    <s v="Kunal Shah"/>
    <n v="20"/>
    <n v="8500000"/>
    <x v="0"/>
  </r>
  <r>
    <x v="6"/>
    <s v="South"/>
    <s v="Akash Reddy"/>
    <n v="9"/>
    <n v="2900000"/>
    <x v="2"/>
  </r>
  <r>
    <x v="7"/>
    <s v="East"/>
    <s v="Ankit Das"/>
    <n v="11"/>
    <n v="3400000"/>
    <x v="0"/>
  </r>
  <r>
    <x v="8"/>
    <s v="North"/>
    <s v="Rohit Gupta"/>
    <n v="15"/>
    <n v="6200000"/>
    <x v="0"/>
  </r>
  <r>
    <x v="9"/>
    <s v="West"/>
    <s v="Vivek Mehta"/>
    <n v="7"/>
    <n v="2100000"/>
    <x v="1"/>
  </r>
  <r>
    <x v="10"/>
    <s v="South"/>
    <s v="Deepak Kumar"/>
    <n v="16"/>
    <n v="6800000"/>
    <x v="0"/>
  </r>
  <r>
    <x v="11"/>
    <s v="East"/>
    <s v="Arjun Sen"/>
    <n v="8"/>
    <n v="2500000"/>
    <x v="2"/>
  </r>
  <r>
    <x v="12"/>
    <s v="North"/>
    <s v="Nitin Jain"/>
    <n v="13"/>
    <n v="4900000"/>
    <x v="0"/>
  </r>
  <r>
    <x v="13"/>
    <s v="West"/>
    <s v="Pankaj Singh"/>
    <n v="17"/>
    <n v="7300000"/>
    <x v="0"/>
  </r>
  <r>
    <x v="14"/>
    <s v="South"/>
    <s v="Rahul Menon"/>
    <n v="5"/>
    <n v="1600000"/>
    <x v="1"/>
  </r>
  <r>
    <x v="15"/>
    <s v="East"/>
    <s v="Abhishek Ghosh"/>
    <n v="19"/>
    <n v="7900000"/>
    <x v="0"/>
  </r>
  <r>
    <x v="16"/>
    <s v="North"/>
    <s v="Manish Arora"/>
    <n v="10"/>
    <n v="3200000"/>
    <x v="0"/>
  </r>
  <r>
    <x v="17"/>
    <s v="West"/>
    <s v="Neeraj Bansal"/>
    <n v="21"/>
    <n v="9100000"/>
    <x v="0"/>
  </r>
  <r>
    <x v="18"/>
    <s v="South"/>
    <s v="Harish Iyer"/>
    <n v="12"/>
    <n v="4700000"/>
    <x v="0"/>
  </r>
  <r>
    <x v="19"/>
    <s v="East"/>
    <s v="Sumit Dutta"/>
    <n v="9"/>
    <n v="2800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rowHeaderCaption="Competitor">
  <location ref="J2:K5" firstHeaderRow="1" firstDataRow="1" firstDataCol="1"/>
  <pivotFields count="4">
    <pivotField dataField="1" showAll="0"/>
    <pivotField axis="axisRow" allDrilled="1" showAll="0" dataSourceSort="1" defaultAttributeDrillState="1">
      <items count="9">
        <item x="0"/>
        <item x="1"/>
        <item x="2"/>
        <item x="3"/>
        <item x="4"/>
        <item x="5"/>
        <item x="6"/>
        <item x="7"/>
        <item t="default"/>
      </items>
    </pivotField>
    <pivotField allDrilled="1" showAll="0" dataSourceSort="1" defaultAttributeDrillState="1"/>
    <pivotField allDrilled="1" showAll="0" dataSourceSort="1" defaultAttributeDrillState="1"/>
  </pivotFields>
  <rowFields count="1">
    <field x="1"/>
  </rowFields>
  <rowItems count="3">
    <i>
      <x/>
    </i>
    <i>
      <x v="1"/>
    </i>
    <i t="grand">
      <x/>
    </i>
  </rowItems>
  <colItems count="1">
    <i/>
  </colItems>
  <dataFields count="1">
    <dataField name="Probability %" fld="0" baseField="0" baseItem="0"/>
  </dataFields>
  <formats count="22">
    <format dxfId="21">
      <pivotArea type="all" dataOnly="0" outline="0" fieldPosition="0"/>
    </format>
    <format dxfId="20">
      <pivotArea outline="0" collapsedLevelsAreSubtotals="1"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dataOnly="0" labelOnly="1" grandRow="1" outline="0"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outline="0" axis="axisValues" fieldPosition="0"/>
    </format>
    <format dxfId="7">
      <pivotArea dataOnly="0" labelOnly="1" fieldPosition="0">
        <references count="1">
          <reference field="1" count="0"/>
        </references>
      </pivotArea>
    </format>
    <format dxfId="6">
      <pivotArea dataOnly="0" labelOnly="1" grandRow="1" outline="0"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outline="0" axis="axisValues" fieldPosition="0"/>
    </format>
    <format dxfId="1">
      <pivotArea dataOnly="0" labelOnly="1" fieldPosition="0">
        <references count="1">
          <reference field="1" count="0"/>
        </references>
      </pivotArea>
    </format>
    <format dxfId="0">
      <pivotArea dataOnly="0" labelOnly="1" grandRow="1" outline="0" fieldPosition="0"/>
    </format>
  </formats>
  <chartFormats count="9">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6"/>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2" format="13">
      <pivotArea type="data" outline="0" fieldPosition="0">
        <references count="2">
          <reference field="4294967294" count="1" selected="0">
            <x v="0"/>
          </reference>
          <reference field="1" count="1" selected="0">
            <x v="5"/>
          </reference>
        </references>
      </pivotArea>
    </chartFormat>
    <chartFormat chart="2" format="14">
      <pivotArea type="data" outline="0" fieldPosition="0">
        <references count="2">
          <reference field="4294967294" count="1" selected="0">
            <x v="0"/>
          </reference>
          <reference field="1" count="1" selected="0">
            <x v="2"/>
          </reference>
        </references>
      </pivotArea>
    </chartFormat>
    <chartFormat chart="2" format="15">
      <pivotArea type="data" outline="0" fieldPosition="0">
        <references count="2">
          <reference field="4294967294" count="1" selected="0">
            <x v="0"/>
          </reference>
          <reference field="1" count="1" selected="0">
            <x v="7"/>
          </reference>
        </references>
      </pivotArea>
    </chartFormat>
    <chartFormat chart="2" format="16">
      <pivotArea type="data" outline="0" fieldPosition="0">
        <references count="2">
          <reference field="4294967294" count="1" selected="0">
            <x v="0"/>
          </reference>
          <reference field="1" count="1" selected="0">
            <x v="0"/>
          </reference>
        </references>
      </pivotArea>
    </chartFormat>
    <chartFormat chart="2" format="17">
      <pivotArea type="data" outline="0" fieldPosition="0">
        <references count="2">
          <reference field="4294967294" count="1" selected="0">
            <x v="0"/>
          </reference>
          <reference field="1" count="1" selected="0">
            <x v="1"/>
          </reference>
        </references>
      </pivotArea>
    </chartFormat>
    <chartFormat chart="2" format="18">
      <pivotArea type="data" outline="0" fieldPosition="0">
        <references count="2">
          <reference field="4294967294" count="1" selected="0">
            <x v="0"/>
          </reference>
          <reference field="1" count="1" selected="0">
            <x v="3"/>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MeetingsTable].[Discussion Summary].&amp;[Budget discussion]"/>
      </members>
    </pivotHierarchy>
    <pivotHierarchy dragToData="1"/>
    <pivotHierarchy dragToData="1"/>
    <pivotHierarchy multipleItemSelectionAllowed="1" dragToData="1"/>
    <pivotHierarchy dragToData="1"/>
    <pivotHierarchy dragToData="1"/>
    <pivotHierarchy multipleItemSelectionAllowed="1" dragToData="1">
      <members count="1" level="1">
        <member name="[PipelineTable].[Industry].&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bability %"/>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xlsx!PipelineTable">
        <x15:activeTabTopLevelEntity name="[PipelineTable]"/>
      </x15:pivotTableUISettings>
    </ext>
  </extLst>
</pivotTableDefinition>
</file>

<file path=xl/pivotTables/pivotTable2.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rowHeaderCaption="Contact Person">
  <location ref="A10:B13"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Opportunity Value" fld="1" baseField="0" baseItem="0"/>
  </dataFields>
  <formats count="16">
    <format dxfId="37">
      <pivotArea type="all" dataOnly="0" outline="0" fieldPosition="0"/>
    </format>
    <format dxfId="36">
      <pivotArea outline="0" collapsedLevelsAreSubtotals="1" fieldPosition="0"/>
    </format>
    <format dxfId="35">
      <pivotArea dataOnly="0" labelOnly="1" outline="0" axis="axisValues" fieldPosition="0"/>
    </format>
    <format dxfId="34">
      <pivotArea dataOnly="0" labelOnly="1" grandRow="1" outline="0"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dataOnly="0" labelOnly="1" grandRow="1" outline="0"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dataOnly="0" labelOnly="1" grandRow="1" outline="0"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MeetingsTable].[Discussion Summary].&amp;[Budget discussion]"/>
      </members>
    </pivotHierarchy>
    <pivotHierarchy dragToData="1"/>
    <pivotHierarchy dragToData="1"/>
    <pivotHierarchy multipleItemSelectionAllowed="1" dragToData="1"/>
    <pivotHierarchy dragToData="1"/>
    <pivotHierarchy dragToData="1"/>
    <pivotHierarchy multipleItemSelectionAllowed="1" dragToData="1">
      <members count="1" level="1">
        <member name="[PipelineTable].[Industry].&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pportunity Val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xlsx!PipelineTable">
        <x15:activeTabTopLevelEntity name="[PipelineTable]"/>
      </x15:pivotTableUISettings>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rowHeaderCaption="Country">
  <location ref="A2:B5"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Opportunity Value" fld="1" baseField="0" baseItem="0"/>
  </dataFields>
  <formats count="24">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outline="0" axis="axisValues" fieldPosition="0"/>
    </format>
    <format dxfId="57">
      <pivotArea dataOnly="0" labelOnly="1" fieldPosition="0">
        <references count="1">
          <reference field="0" count="0"/>
        </references>
      </pivotArea>
    </format>
    <format dxfId="56">
      <pivotArea dataOnly="0" labelOnly="1" grandRow="1" outline="0" fieldPosition="0"/>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outline="0" axis="axisValues" fieldPosition="0"/>
    </format>
    <format dxfId="51">
      <pivotArea dataOnly="0" labelOnly="1" fieldPosition="0">
        <references count="1">
          <reference field="0" count="0"/>
        </references>
      </pivotArea>
    </format>
    <format dxfId="50">
      <pivotArea dataOnly="0" labelOnly="1" grandRow="1" outline="0" fieldPosition="0"/>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outline="0" axis="axisValues" fieldPosition="0"/>
    </format>
    <format dxfId="45">
      <pivotArea dataOnly="0" labelOnly="1" fieldPosition="0">
        <references count="1">
          <reference field="0" count="0"/>
        </references>
      </pivotArea>
    </format>
    <format dxfId="44">
      <pivotArea dataOnly="0" labelOnly="1" grandRow="1" outline="0"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outline="0" axis="axisValues" fieldPosition="0"/>
    </format>
    <format dxfId="39">
      <pivotArea dataOnly="0" labelOnly="1" fieldPosition="0">
        <references count="1">
          <reference field="0" count="0"/>
        </references>
      </pivotArea>
    </format>
    <format dxfId="38">
      <pivotArea dataOnly="0" labelOnly="1" grandRow="1" outline="0" fieldPosition="0"/>
    </format>
  </formats>
  <chartFormats count="1">
    <chartFormat chart="4" format="2" series="1">
      <pivotArea type="data" outline="0" fieldPosition="0">
        <references count="1">
          <reference field="4294967294" count="1" selected="0">
            <x v="0"/>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MeetingsTable].[Discussion Summary].&amp;[Budget discussion]"/>
      </members>
    </pivotHierarchy>
    <pivotHierarchy dragToData="1"/>
    <pivotHierarchy dragToData="1"/>
    <pivotHierarchy multipleItemSelectionAllowed="1" dragToData="1"/>
    <pivotHierarchy dragToData="1"/>
    <pivotHierarchy dragToData="1"/>
    <pivotHierarchy multipleItemSelectionAllowed="1" dragToData="1">
      <members count="1" level="1">
        <member name="[PipelineTable].[Industry].&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pportunity Val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xlsx!PipelineTable">
        <x15:activeTabTopLevelEntity name="[PipelineTable]"/>
      </x15:pivotTableUISettings>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D2:H24" firstHeaderRow="1" firstDataRow="2" firstDataCol="1"/>
  <pivotFields count="6">
    <pivotField axis="axisRow" showAll="0">
      <items count="21">
        <item x="6"/>
        <item x="1"/>
        <item x="17"/>
        <item x="8"/>
        <item x="10"/>
        <item x="18"/>
        <item x="2"/>
        <item x="5"/>
        <item x="15"/>
        <item x="4"/>
        <item x="12"/>
        <item x="3"/>
        <item x="19"/>
        <item x="13"/>
        <item x="16"/>
        <item x="0"/>
        <item x="7"/>
        <item x="11"/>
        <item x="14"/>
        <item x="9"/>
        <item t="default"/>
      </items>
    </pivotField>
    <pivotField showAll="0"/>
    <pivotField showAll="0"/>
    <pivotField showAll="0"/>
    <pivotField dataField="1" showAll="0"/>
    <pivotField axis="axisCol" showAll="0">
      <items count="4">
        <item x="0"/>
        <item x="2"/>
        <item x="1"/>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5"/>
  </colFields>
  <colItems count="4">
    <i>
      <x/>
    </i>
    <i>
      <x v="1"/>
    </i>
    <i>
      <x v="2"/>
    </i>
    <i t="grand">
      <x/>
    </i>
  </colItems>
  <dataFields count="1">
    <dataField name="Sum of Pipeline Value" fld="4" baseField="0" baseItem="0"/>
  </dataFields>
  <formats count="3">
    <format dxfId="64">
      <pivotArea type="all" dataOnly="0" outline="0" fieldPosition="0"/>
    </format>
    <format dxfId="63">
      <pivotArea type="all" dataOnly="0" outline="0" fieldPosition="0"/>
    </format>
    <format dxfId="62">
      <pivotArea type="all" dataOnly="0" outline="0" fieldPosition="0"/>
    </format>
  </format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27:E39" firstHeaderRow="1" firstDataRow="2" firstDataCol="1"/>
  <pivotFields count="5">
    <pivotField dataField="1" showAll="0"/>
    <pivotField axis="axisCol" allDrilled="1" showAll="0" dataSourceSort="1" defaultAttributeDrillState="1">
      <items count="4">
        <item x="0"/>
        <item x="1"/>
        <item x="2"/>
        <item t="default"/>
      </items>
    </pivotField>
    <pivotField axis="axisRow" allDrilled="1" showAll="0" dataSourceSort="1" defaultAttributeDrillState="1">
      <items count="11">
        <item x="0"/>
        <item x="1"/>
        <item x="2"/>
        <item x="3"/>
        <item x="4"/>
        <item x="5"/>
        <item x="6"/>
        <item x="7"/>
        <item x="8"/>
        <item x="9"/>
        <item t="default"/>
      </items>
    </pivotField>
    <pivotField allDrilled="1" showAll="0" dataSourceSort="1" defaultAttributeDrillState="1"/>
    <pivotField allDrilled="1" showAll="0" dataSourceSort="1" defaultAttributeDrillState="1"/>
  </pivotFields>
  <rowFields count="1">
    <field x="2"/>
  </rowFields>
  <rowItems count="11">
    <i>
      <x/>
    </i>
    <i>
      <x v="1"/>
    </i>
    <i>
      <x v="2"/>
    </i>
    <i>
      <x v="3"/>
    </i>
    <i>
      <x v="4"/>
    </i>
    <i>
      <x v="5"/>
    </i>
    <i>
      <x v="6"/>
    </i>
    <i>
      <x v="7"/>
    </i>
    <i>
      <x v="8"/>
    </i>
    <i>
      <x v="9"/>
    </i>
    <i t="grand">
      <x/>
    </i>
  </rowItems>
  <colFields count="1">
    <field x="1"/>
  </colFields>
  <colItems count="4">
    <i>
      <x/>
    </i>
    <i>
      <x v="1"/>
    </i>
    <i>
      <x v="2"/>
    </i>
    <i t="grand">
      <x/>
    </i>
  </colItems>
  <dataFields count="1">
    <dataField name="Count of Action Items" fld="0" subtotal="count" showDataAs="percentOfTotal" baseField="0" baseItem="0" numFmtId="10"/>
  </dataFields>
  <formats count="5">
    <format dxfId="69">
      <pivotArea type="all" dataOnly="0" outline="0" fieldPosition="0"/>
    </format>
    <format dxfId="68">
      <pivotArea outline="0" collapsedLevelsAreSubtotals="1" fieldPosition="0"/>
    </format>
    <format dxfId="67">
      <pivotArea dataOnly="0" labelOnly="1" grandRow="1" outline="0" fieldPosition="0"/>
    </format>
    <format dxfId="66">
      <pivotArea dataOnly="0" labelOnly="1" fieldPosition="0">
        <references count="1">
          <reference field="1" count="0"/>
        </references>
      </pivotArea>
    </format>
    <format dxfId="65">
      <pivotArea dataOnly="0" labelOnly="1" grandCol="1" outline="0" fieldPosition="0"/>
    </format>
  </formats>
  <chartFormats count="6">
    <chartFormat chart="1" format="3" series="1">
      <pivotArea type="data" outline="0" fieldPosition="0">
        <references count="2">
          <reference field="4294967294" count="1" selected="0">
            <x v="0"/>
          </reference>
          <reference field="1" count="1" selected="0">
            <x v="0"/>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1" format="5"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MeetingsTable].[Discussion Summary].&amp;[Budget discussion]"/>
      </members>
    </pivotHierarchy>
    <pivotHierarchy dragToData="1"/>
    <pivotHierarchy dragToData="1"/>
    <pivotHierarchy multipleItemSelectionAllowed="1" dragToData="1"/>
    <pivotHierarchy dragToData="1"/>
    <pivotHierarchy dragToData="1"/>
    <pivotHierarchy multipleItemSelectionAllowed="1" dragToData="1">
      <members count="1" level="1">
        <member name="[PipelineTable].[Industry].&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xlsx!MeetingsTable">
        <x15:activeTabTopLevelEntity name="[MeetingsTab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MeetingsTable].[Date]">
  <pivotTables>
    <pivotTable tabId="11" name="PivotTable5"/>
    <pivotTable tabId="11" name="PivotTable6"/>
    <pivotTable tabId="11" name="PivotTable7"/>
    <pivotTable tabId="11" name="PivotTable8"/>
  </pivotTables>
  <data>
    <olap pivotCacheId="8">
      <levels count="2">
        <level uniqueName="[MeetingsTable].[Date].[(All)]" sourceCaption="(All)" count="0"/>
        <level uniqueName="[MeetingsTable].[Date].[Date]" sourceCaption="Date" count="10">
          <ranges>
            <range startItem="0">
              <i n="[MeetingsTable].[Date].&amp;[2025-01-05T00:00:00]" c="05-01-2025"/>
              <i n="[MeetingsTable].[Date].&amp;[2025-01-12T00:00:00]" c="12-01-2025"/>
              <i n="[MeetingsTable].[Date].&amp;[2025-01-20T00:00:00]" c="20-01-2025"/>
              <i n="[MeetingsTable].[Date].&amp;[2025-02-03T00:00:00]" c="03-02-2025"/>
              <i n="[MeetingsTable].[Date].&amp;[2025-02-14T00:00:00]" c="14-02-2025"/>
              <i n="[MeetingsTable].[Date].&amp;[2025-02-25T00:00:00]" c="25-02-2025"/>
              <i n="[MeetingsTable].[Date].&amp;[2025-03-06T00:00:00]" c="06-03-2025"/>
              <i n="[MeetingsTable].[Date].&amp;[2025-03-18T00:00:00]" c="18-03-2025"/>
              <i n="[MeetingsTable].[Date].&amp;[2025-04-01T00:00:00]" c="01-04-2025"/>
              <i n="[MeetingsTable].[Date].&amp;[2025-04-15T00:00:00]" c="15-04-2025"/>
            </range>
          </ranges>
        </level>
      </levels>
      <selections count="1">
        <selection n="[MeetingsTable].[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dustry" sourceName="[PipelineTable].[Industry]">
  <pivotTables>
    <pivotTable tabId="11" name="PivotTable5"/>
    <pivotTable tabId="11" name="PivotTable6"/>
    <pivotTable tabId="11" name="PivotTable7"/>
    <pivotTable tabId="11" name="PivotTable8"/>
  </pivotTables>
  <data>
    <olap pivotCacheId="8">
      <levels count="2">
        <level uniqueName="[PipelineTable].[Industry].[(All)]" sourceCaption="(All)" count="0"/>
        <level uniqueName="[PipelineTable].[Industry].[Industry]" sourceCaption="Industry" count="5">
          <ranges>
            <range startItem="0">
              <i n="[PipelineTable].[Industry].&amp;[Finance]" c="Finance"/>
              <i n="[PipelineTable].[Industry].&amp;[Healthcare]" c="Healthcare"/>
              <i n="[PipelineTable].[Industry].&amp;[IT]" c="IT"/>
              <i n="[PipelineTable].[Industry].&amp;[Manufacturing]" c="Manufacturing"/>
              <i n="[PipelineTable].[Industry].&amp;[Retail]" c="Retail"/>
            </range>
          </ranges>
        </level>
      </levels>
      <selections count="1">
        <selection n="[PipelineTable].[Industry].&amp;[Retai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level="1" rowHeight="241300"/>
  <slicer name="Industry" cache="Slicer_Industry" caption="Industry" level="1" rowHeight="241300"/>
</slicers>
</file>

<file path=xl/tables/table1.xml><?xml version="1.0" encoding="utf-8"?>
<table xmlns="http://schemas.openxmlformats.org/spreadsheetml/2006/main" id="2" name="MeetingsTable" displayName="MeetingsTable" ref="A1:F11" totalsRowShown="0" headerRowDxfId="102" dataDxfId="101">
  <autoFilter ref="A1:F11"/>
  <tableColumns count="6">
    <tableColumn id="1" name="Date" dataDxfId="100"/>
    <tableColumn id="2" name="Customer" dataDxfId="99"/>
    <tableColumn id="3" name="Discussion Summary" dataDxfId="98"/>
    <tableColumn id="4" name="Action Items" dataDxfId="97"/>
    <tableColumn id="5" name="Owner" dataDxfId="96"/>
    <tableColumn id="6" name="Due Date" dataDxfId="95"/>
  </tableColumns>
  <tableStyleInfo name="TableStyleMedium2" showFirstColumn="0" showLastColumn="0" showRowStripes="1" showColumnStripes="0"/>
</table>
</file>

<file path=xl/tables/table2.xml><?xml version="1.0" encoding="utf-8"?>
<table xmlns="http://schemas.openxmlformats.org/spreadsheetml/2006/main" id="5" name="Table2" displayName="Table2" ref="A1:F22" totalsRowShown="0">
  <autoFilter ref="A1:F22"/>
  <tableColumns count="6">
    <tableColumn id="1" name="Partner Name"/>
    <tableColumn id="2" name="Region"/>
    <tableColumn id="3" name="Contact"/>
    <tableColumn id="4" name="Opportunity Count"/>
    <tableColumn id="5" name="Pipeline Value"/>
    <tableColumn id="6" name="Status"/>
  </tableColumns>
  <tableStyleInfo name="TableStyleMedium2" showFirstColumn="0" showLastColumn="0" showRowStripes="1" showColumnStripes="0"/>
</table>
</file>

<file path=xl/tables/table3.xml><?xml version="1.0" encoding="utf-8"?>
<table xmlns="http://schemas.openxmlformats.org/spreadsheetml/2006/main" id="1" name="ForecastTable" displayName="ForecastTable" ref="A1:F11" totalsRowShown="0" headerRowDxfId="94" dataDxfId="93">
  <autoFilter ref="A1:F11"/>
  <tableColumns count="6">
    <tableColumn id="1" name="Month" dataDxfId="92"/>
    <tableColumn id="2" name="Pipeline Value" dataDxfId="91"/>
    <tableColumn id="3" name="Weighted Pipeline" dataDxfId="90"/>
    <tableColumn id="4" name="Closed Won" dataDxfId="89"/>
    <tableColumn id="5" name="Target" dataDxfId="88"/>
    <tableColumn id="6" name="Achievement %" dataDxfId="87"/>
  </tableColumns>
  <tableStyleInfo name="TableStyleMedium2" showFirstColumn="0" showLastColumn="0" showRowStripes="1" showColumnStripes="0"/>
</table>
</file>

<file path=xl/tables/table4.xml><?xml version="1.0" encoding="utf-8"?>
<table xmlns="http://schemas.openxmlformats.org/spreadsheetml/2006/main" id="3" name="PipelineTable" displayName="PipelineTable" ref="A1:O12" totalsRowShown="0" headerRowDxfId="86" dataDxfId="85">
  <autoFilter ref="A1:O12"/>
  <tableColumns count="15">
    <tableColumn id="1" name="Opportunity ID" dataDxfId="84"/>
    <tableColumn id="2" name="Customer Name" dataDxfId="83"/>
    <tableColumn id="3" name="Industry" dataDxfId="82"/>
    <tableColumn id="4" name="Country" dataDxfId="81"/>
    <tableColumn id="5" name="Contact Person" dataDxfId="80"/>
    <tableColumn id="6" name="Lead Source" dataDxfId="79"/>
    <tableColumn id="7" name="Opportunity Value" dataDxfId="78"/>
    <tableColumn id="8" name="Stage" dataDxfId="77"/>
    <tableColumn id="9" name="Probability %" dataDxfId="76"/>
    <tableColumn id="10" name="Weighted Pipeline" dataDxfId="75"/>
    <tableColumn id="11" name="Expected Close Date" dataDxfId="74"/>
    <tableColumn id="12" name="Competitor" dataDxfId="73"/>
    <tableColumn id="13" name="Next Action" dataDxfId="72"/>
    <tableColumn id="14" name="Sales Owner" dataDxfId="71"/>
    <tableColumn id="15" name="Status" dataDxfId="7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zoomScaleNormal="100" workbookViewId="0"/>
  </sheetViews>
  <sheetFormatPr defaultColWidth="8.77734375" defaultRowHeight="14.4" x14ac:dyDescent="0.3"/>
  <cols>
    <col min="1" max="1" width="16.77734375" customWidth="1"/>
    <col min="2" max="2" width="30.33203125" customWidth="1"/>
    <col min="3" max="3" width="23.21875" customWidth="1"/>
    <col min="4" max="4" width="20.88671875" customWidth="1"/>
    <col min="5" max="5" width="12.77734375" customWidth="1"/>
    <col min="6" max="6" width="16.77734375" customWidth="1"/>
  </cols>
  <sheetData>
    <row r="1" spans="1:6" x14ac:dyDescent="0.3">
      <c r="A1" s="4" t="s">
        <v>80</v>
      </c>
      <c r="B1" s="4" t="s">
        <v>81</v>
      </c>
      <c r="C1" s="4" t="s">
        <v>82</v>
      </c>
      <c r="D1" s="4" t="s">
        <v>83</v>
      </c>
      <c r="E1" s="4" t="s">
        <v>84</v>
      </c>
      <c r="F1" s="4" t="s">
        <v>85</v>
      </c>
    </row>
    <row r="2" spans="1:6" x14ac:dyDescent="0.3">
      <c r="A2" s="5">
        <v>45662</v>
      </c>
      <c r="B2" s="6" t="s">
        <v>22</v>
      </c>
      <c r="C2" s="6" t="s">
        <v>86</v>
      </c>
      <c r="D2" s="6" t="s">
        <v>87</v>
      </c>
      <c r="E2" s="7" t="s">
        <v>29</v>
      </c>
      <c r="F2" s="5">
        <v>45667</v>
      </c>
    </row>
    <row r="3" spans="1:6" x14ac:dyDescent="0.3">
      <c r="A3" s="5">
        <v>45669</v>
      </c>
      <c r="B3" s="6" t="s">
        <v>32</v>
      </c>
      <c r="C3" s="6" t="s">
        <v>88</v>
      </c>
      <c r="D3" s="6" t="s">
        <v>89</v>
      </c>
      <c r="E3" s="7" t="s">
        <v>39</v>
      </c>
      <c r="F3" s="5">
        <v>45674</v>
      </c>
    </row>
    <row r="4" spans="1:6" x14ac:dyDescent="0.3">
      <c r="A4" s="5">
        <v>45677</v>
      </c>
      <c r="B4" s="6" t="s">
        <v>41</v>
      </c>
      <c r="C4" s="6" t="s">
        <v>90</v>
      </c>
      <c r="D4" s="6" t="s">
        <v>91</v>
      </c>
      <c r="E4" s="7" t="s">
        <v>29</v>
      </c>
      <c r="F4" s="5">
        <v>45684</v>
      </c>
    </row>
    <row r="5" spans="1:6" x14ac:dyDescent="0.3">
      <c r="A5" s="5">
        <v>45691</v>
      </c>
      <c r="B5" s="6" t="s">
        <v>50</v>
      </c>
      <c r="C5" s="6" t="s">
        <v>92</v>
      </c>
      <c r="D5" s="6" t="s">
        <v>93</v>
      </c>
      <c r="E5" s="7" t="s">
        <v>55</v>
      </c>
      <c r="F5" s="5">
        <v>45698</v>
      </c>
    </row>
    <row r="6" spans="1:6" x14ac:dyDescent="0.3">
      <c r="A6" s="5">
        <v>45702</v>
      </c>
      <c r="B6" s="6" t="s">
        <v>57</v>
      </c>
      <c r="C6" s="6" t="s">
        <v>94</v>
      </c>
      <c r="D6" s="6" t="s">
        <v>95</v>
      </c>
      <c r="E6" s="7" t="s">
        <v>39</v>
      </c>
      <c r="F6" s="5">
        <v>45709</v>
      </c>
    </row>
    <row r="7" spans="1:6" x14ac:dyDescent="0.3">
      <c r="A7" s="5">
        <v>45713</v>
      </c>
      <c r="B7" s="6" t="s">
        <v>61</v>
      </c>
      <c r="C7" s="6" t="s">
        <v>96</v>
      </c>
      <c r="D7" s="6" t="s">
        <v>97</v>
      </c>
      <c r="E7" s="7" t="s">
        <v>29</v>
      </c>
      <c r="F7" s="5">
        <v>45720</v>
      </c>
    </row>
    <row r="8" spans="1:6" x14ac:dyDescent="0.3">
      <c r="A8" s="5">
        <v>45722</v>
      </c>
      <c r="B8" s="6" t="s">
        <v>66</v>
      </c>
      <c r="C8" s="6" t="s">
        <v>98</v>
      </c>
      <c r="D8" s="6" t="s">
        <v>99</v>
      </c>
      <c r="E8" s="7" t="s">
        <v>55</v>
      </c>
      <c r="F8" s="5">
        <v>45729</v>
      </c>
    </row>
    <row r="9" spans="1:6" x14ac:dyDescent="0.3">
      <c r="A9" s="5">
        <v>45734</v>
      </c>
      <c r="B9" s="6" t="s">
        <v>71</v>
      </c>
      <c r="C9" s="6" t="s">
        <v>100</v>
      </c>
      <c r="D9" s="6" t="s">
        <v>101</v>
      </c>
      <c r="E9" s="7" t="s">
        <v>39</v>
      </c>
      <c r="F9" s="5">
        <v>45741</v>
      </c>
    </row>
    <row r="10" spans="1:6" x14ac:dyDescent="0.3">
      <c r="A10" s="5">
        <v>45748</v>
      </c>
      <c r="B10" s="6" t="s">
        <v>75</v>
      </c>
      <c r="C10" s="6" t="s">
        <v>102</v>
      </c>
      <c r="D10" s="6" t="s">
        <v>103</v>
      </c>
      <c r="E10" s="7" t="s">
        <v>29</v>
      </c>
      <c r="F10" s="5">
        <v>45755</v>
      </c>
    </row>
    <row r="11" spans="1:6" x14ac:dyDescent="0.3">
      <c r="A11" s="5">
        <v>45762</v>
      </c>
      <c r="B11" s="6" t="s">
        <v>78</v>
      </c>
      <c r="C11" s="6" t="s">
        <v>104</v>
      </c>
      <c r="D11" s="6" t="s">
        <v>105</v>
      </c>
      <c r="E11" s="7" t="s">
        <v>55</v>
      </c>
      <c r="F11" s="5">
        <v>45769</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zoomScaleNormal="100" workbookViewId="0">
      <selection activeCell="D1" sqref="D1"/>
    </sheetView>
  </sheetViews>
  <sheetFormatPr defaultColWidth="8.77734375" defaultRowHeight="14.4" x14ac:dyDescent="0.3"/>
  <cols>
    <col min="1" max="1" width="22.33203125" customWidth="1"/>
    <col min="2" max="2" width="12.6640625" customWidth="1"/>
    <col min="3" max="3" width="17.109375" customWidth="1"/>
    <col min="4" max="4" width="21.33203125" bestFit="1" customWidth="1"/>
    <col min="5" max="5" width="17.77734375" customWidth="1"/>
    <col min="6" max="6" width="14.88671875" customWidth="1"/>
  </cols>
  <sheetData>
    <row r="1" spans="1:6" x14ac:dyDescent="0.3">
      <c r="A1" s="4" t="s">
        <v>111</v>
      </c>
      <c r="B1" s="4" t="s">
        <v>106</v>
      </c>
      <c r="C1" s="4" t="s">
        <v>112</v>
      </c>
      <c r="D1" s="4" t="s">
        <v>113</v>
      </c>
      <c r="E1" s="4" t="s">
        <v>114</v>
      </c>
      <c r="F1" s="4" t="s">
        <v>20</v>
      </c>
    </row>
    <row r="2" spans="1:6" x14ac:dyDescent="0.3">
      <c r="A2" s="6" t="s">
        <v>115</v>
      </c>
      <c r="B2" s="6" t="s">
        <v>108</v>
      </c>
      <c r="C2" s="6" t="s">
        <v>116</v>
      </c>
      <c r="D2" s="6">
        <v>66</v>
      </c>
      <c r="E2" s="6">
        <v>4500000</v>
      </c>
      <c r="F2" s="6" t="s">
        <v>117</v>
      </c>
    </row>
    <row r="3" spans="1:6" x14ac:dyDescent="0.3">
      <c r="A3" s="6" t="s">
        <v>118</v>
      </c>
      <c r="B3" s="6" t="s">
        <v>110</v>
      </c>
      <c r="C3" s="6" t="s">
        <v>119</v>
      </c>
      <c r="D3" s="6">
        <v>18</v>
      </c>
      <c r="E3" s="6">
        <v>7200000</v>
      </c>
      <c r="F3" s="6" t="s">
        <v>117</v>
      </c>
    </row>
    <row r="4" spans="1:6" x14ac:dyDescent="0.3">
      <c r="A4" s="6" t="s">
        <v>120</v>
      </c>
      <c r="B4" s="6" t="s">
        <v>109</v>
      </c>
      <c r="C4" s="6" t="s">
        <v>121</v>
      </c>
      <c r="D4" s="6">
        <v>10</v>
      </c>
      <c r="E4" s="6">
        <v>3800000</v>
      </c>
      <c r="F4" s="6" t="s">
        <v>117</v>
      </c>
    </row>
    <row r="5" spans="1:6" x14ac:dyDescent="0.3">
      <c r="A5" s="6" t="s">
        <v>122</v>
      </c>
      <c r="B5" s="6" t="s">
        <v>107</v>
      </c>
      <c r="C5" s="6" t="s">
        <v>123</v>
      </c>
      <c r="D5" s="6">
        <v>6</v>
      </c>
      <c r="E5" s="6">
        <v>1800000</v>
      </c>
      <c r="F5" s="6" t="s">
        <v>124</v>
      </c>
    </row>
    <row r="6" spans="1:6" x14ac:dyDescent="0.3">
      <c r="A6" s="6" t="s">
        <v>125</v>
      </c>
      <c r="B6" s="6" t="s">
        <v>108</v>
      </c>
      <c r="C6" s="6" t="s">
        <v>126</v>
      </c>
      <c r="D6" s="6">
        <v>14</v>
      </c>
      <c r="E6" s="6">
        <v>5500000</v>
      </c>
      <c r="F6" s="6" t="s">
        <v>117</v>
      </c>
    </row>
    <row r="7" spans="1:6" x14ac:dyDescent="0.3">
      <c r="A7" s="6" t="s">
        <v>127</v>
      </c>
      <c r="B7" s="6" t="s">
        <v>110</v>
      </c>
      <c r="C7" s="6" t="s">
        <v>128</v>
      </c>
      <c r="D7" s="6">
        <v>20</v>
      </c>
      <c r="E7" s="6">
        <v>8500000</v>
      </c>
      <c r="F7" s="6" t="s">
        <v>117</v>
      </c>
    </row>
    <row r="8" spans="1:6" x14ac:dyDescent="0.3">
      <c r="A8" s="6" t="s">
        <v>129</v>
      </c>
      <c r="B8" s="6" t="s">
        <v>109</v>
      </c>
      <c r="C8" s="6" t="s">
        <v>130</v>
      </c>
      <c r="D8" s="6">
        <v>9</v>
      </c>
      <c r="E8" s="6">
        <v>2900000</v>
      </c>
      <c r="F8" s="6" t="s">
        <v>131</v>
      </c>
    </row>
    <row r="9" spans="1:6" x14ac:dyDescent="0.3">
      <c r="A9" s="6" t="s">
        <v>132</v>
      </c>
      <c r="B9" s="6" t="s">
        <v>107</v>
      </c>
      <c r="C9" s="6" t="s">
        <v>133</v>
      </c>
      <c r="D9" s="6">
        <v>11</v>
      </c>
      <c r="E9" s="6">
        <v>3400000</v>
      </c>
      <c r="F9" s="6" t="s">
        <v>117</v>
      </c>
    </row>
    <row r="10" spans="1:6" x14ac:dyDescent="0.3">
      <c r="A10" s="6" t="s">
        <v>134</v>
      </c>
      <c r="B10" s="6" t="s">
        <v>108</v>
      </c>
      <c r="C10" s="6" t="s">
        <v>135</v>
      </c>
      <c r="D10" s="6">
        <v>15</v>
      </c>
      <c r="E10" s="6">
        <v>6200000</v>
      </c>
      <c r="F10" s="6" t="s">
        <v>117</v>
      </c>
    </row>
    <row r="11" spans="1:6" x14ac:dyDescent="0.3">
      <c r="A11" s="6" t="s">
        <v>136</v>
      </c>
      <c r="B11" s="6" t="s">
        <v>110</v>
      </c>
      <c r="C11" s="6" t="s">
        <v>137</v>
      </c>
      <c r="D11" s="6">
        <v>7</v>
      </c>
      <c r="E11" s="6">
        <v>2100000</v>
      </c>
      <c r="F11" s="6" t="s">
        <v>124</v>
      </c>
    </row>
    <row r="12" spans="1:6" x14ac:dyDescent="0.3">
      <c r="A12" s="6" t="s">
        <v>138</v>
      </c>
      <c r="B12" s="6" t="s">
        <v>109</v>
      </c>
      <c r="C12" s="6" t="s">
        <v>139</v>
      </c>
      <c r="D12" s="6">
        <v>16</v>
      </c>
      <c r="E12" s="6">
        <v>6800000</v>
      </c>
      <c r="F12" s="6" t="s">
        <v>117</v>
      </c>
    </row>
    <row r="13" spans="1:6" x14ac:dyDescent="0.3">
      <c r="A13" s="6" t="s">
        <v>140</v>
      </c>
      <c r="B13" s="6" t="s">
        <v>107</v>
      </c>
      <c r="C13" s="6" t="s">
        <v>141</v>
      </c>
      <c r="D13" s="6">
        <v>8</v>
      </c>
      <c r="E13" s="6">
        <v>2500000</v>
      </c>
      <c r="F13" s="6" t="s">
        <v>131</v>
      </c>
    </row>
    <row r="14" spans="1:6" x14ac:dyDescent="0.3">
      <c r="A14" s="6" t="s">
        <v>142</v>
      </c>
      <c r="B14" s="6" t="s">
        <v>108</v>
      </c>
      <c r="C14" s="6" t="s">
        <v>143</v>
      </c>
      <c r="D14" s="6">
        <v>13</v>
      </c>
      <c r="E14" s="6">
        <v>4900000</v>
      </c>
      <c r="F14" s="6" t="s">
        <v>117</v>
      </c>
    </row>
    <row r="15" spans="1:6" x14ac:dyDescent="0.3">
      <c r="A15" s="6" t="s">
        <v>144</v>
      </c>
      <c r="B15" s="6" t="s">
        <v>110</v>
      </c>
      <c r="C15" s="6" t="s">
        <v>145</v>
      </c>
      <c r="D15" s="6">
        <v>17</v>
      </c>
      <c r="E15" s="6">
        <v>7300000</v>
      </c>
      <c r="F15" s="6" t="s">
        <v>117</v>
      </c>
    </row>
    <row r="16" spans="1:6" x14ac:dyDescent="0.3">
      <c r="A16" s="6" t="s">
        <v>146</v>
      </c>
      <c r="B16" s="6" t="s">
        <v>109</v>
      </c>
      <c r="C16" s="6" t="s">
        <v>147</v>
      </c>
      <c r="D16" s="6">
        <v>5</v>
      </c>
      <c r="E16" s="6">
        <v>1600000</v>
      </c>
      <c r="F16" s="6" t="s">
        <v>124</v>
      </c>
    </row>
    <row r="17" spans="1:6" x14ac:dyDescent="0.3">
      <c r="A17" s="6" t="s">
        <v>148</v>
      </c>
      <c r="B17" s="6" t="s">
        <v>107</v>
      </c>
      <c r="C17" s="6" t="s">
        <v>149</v>
      </c>
      <c r="D17" s="6">
        <v>19</v>
      </c>
      <c r="E17" s="6">
        <v>7900000</v>
      </c>
      <c r="F17" s="6" t="s">
        <v>117</v>
      </c>
    </row>
    <row r="18" spans="1:6" x14ac:dyDescent="0.3">
      <c r="A18" s="6" t="s">
        <v>150</v>
      </c>
      <c r="B18" s="6" t="s">
        <v>108</v>
      </c>
      <c r="C18" s="6" t="s">
        <v>151</v>
      </c>
      <c r="D18" s="6">
        <v>10</v>
      </c>
      <c r="E18" s="6">
        <v>3200000</v>
      </c>
      <c r="F18" s="6" t="s">
        <v>117</v>
      </c>
    </row>
    <row r="19" spans="1:6" x14ac:dyDescent="0.3">
      <c r="A19" s="6" t="s">
        <v>152</v>
      </c>
      <c r="B19" s="6" t="s">
        <v>110</v>
      </c>
      <c r="C19" s="6" t="s">
        <v>153</v>
      </c>
      <c r="D19" s="6">
        <v>21</v>
      </c>
      <c r="E19" s="6">
        <v>9100000</v>
      </c>
      <c r="F19" s="6" t="s">
        <v>117</v>
      </c>
    </row>
    <row r="20" spans="1:6" x14ac:dyDescent="0.3">
      <c r="A20" s="6" t="s">
        <v>154</v>
      </c>
      <c r="B20" s="6" t="s">
        <v>109</v>
      </c>
      <c r="C20" s="6" t="s">
        <v>155</v>
      </c>
      <c r="D20" s="6">
        <v>12</v>
      </c>
      <c r="E20" s="6">
        <v>4700000</v>
      </c>
      <c r="F20" s="6" t="s">
        <v>117</v>
      </c>
    </row>
    <row r="21" spans="1:6" x14ac:dyDescent="0.3">
      <c r="A21" s="6" t="s">
        <v>156</v>
      </c>
      <c r="B21" s="6" t="s">
        <v>107</v>
      </c>
      <c r="C21" s="6" t="s">
        <v>157</v>
      </c>
      <c r="D21" s="6">
        <v>9</v>
      </c>
      <c r="E21" s="6">
        <v>2800000</v>
      </c>
      <c r="F21" s="6" t="s">
        <v>131</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zoomScaleNormal="100" workbookViewId="0">
      <selection activeCell="D17" sqref="D17"/>
    </sheetView>
  </sheetViews>
  <sheetFormatPr defaultColWidth="8.77734375" defaultRowHeight="14.4" x14ac:dyDescent="0.3"/>
  <cols>
    <col min="1" max="1" width="11.6640625" customWidth="1"/>
    <col min="2" max="2" width="18.6640625" customWidth="1"/>
    <col min="3" max="3" width="19.21875" customWidth="1"/>
    <col min="4" max="4" width="18.109375" customWidth="1"/>
    <col min="5" max="5" width="14.5546875" customWidth="1"/>
    <col min="6" max="6" width="16" customWidth="1"/>
  </cols>
  <sheetData>
    <row r="1" spans="1:6" x14ac:dyDescent="0.3">
      <c r="A1" s="4" t="s">
        <v>158</v>
      </c>
      <c r="B1" s="4" t="s">
        <v>114</v>
      </c>
      <c r="C1" s="4" t="s">
        <v>15</v>
      </c>
      <c r="D1" s="4" t="s">
        <v>48</v>
      </c>
      <c r="E1" s="4" t="s">
        <v>159</v>
      </c>
      <c r="F1" s="4" t="s">
        <v>160</v>
      </c>
    </row>
    <row r="2" spans="1:6" x14ac:dyDescent="0.3">
      <c r="A2" s="6" t="s">
        <v>161</v>
      </c>
      <c r="B2" s="6">
        <v>200000</v>
      </c>
      <c r="C2" s="6">
        <v>120000</v>
      </c>
      <c r="D2" s="6">
        <v>60000</v>
      </c>
      <c r="E2" s="6">
        <v>160000</v>
      </c>
      <c r="F2" s="6">
        <f t="shared" ref="F2:F11" si="0">IFERROR(D2/E2*100,0)</f>
        <v>37.5</v>
      </c>
    </row>
    <row r="3" spans="1:6" x14ac:dyDescent="0.3">
      <c r="A3" s="6" t="s">
        <v>162</v>
      </c>
      <c r="B3" s="6">
        <v>320000</v>
      </c>
      <c r="C3" s="6">
        <v>190000</v>
      </c>
      <c r="D3" s="6">
        <v>95000</v>
      </c>
      <c r="E3" s="6">
        <v>250000</v>
      </c>
      <c r="F3" s="6">
        <f t="shared" si="0"/>
        <v>38</v>
      </c>
    </row>
    <row r="4" spans="1:6" x14ac:dyDescent="0.3">
      <c r="A4" s="6" t="s">
        <v>163</v>
      </c>
      <c r="B4" s="6">
        <v>410000</v>
      </c>
      <c r="C4" s="6">
        <v>250000</v>
      </c>
      <c r="D4" s="6">
        <v>130000</v>
      </c>
      <c r="E4" s="6">
        <v>320000</v>
      </c>
      <c r="F4" s="6">
        <f t="shared" si="0"/>
        <v>40.625</v>
      </c>
    </row>
    <row r="5" spans="1:6" x14ac:dyDescent="0.3">
      <c r="A5" s="6" t="s">
        <v>164</v>
      </c>
      <c r="B5" s="6">
        <v>500000</v>
      </c>
      <c r="C5" s="6">
        <v>310000</v>
      </c>
      <c r="D5" s="6">
        <v>170000</v>
      </c>
      <c r="E5" s="6">
        <v>400000</v>
      </c>
      <c r="F5" s="6">
        <f t="shared" si="0"/>
        <v>42.5</v>
      </c>
    </row>
    <row r="6" spans="1:6" x14ac:dyDescent="0.3">
      <c r="A6" s="6" t="s">
        <v>165</v>
      </c>
      <c r="B6" s="6">
        <v>620000</v>
      </c>
      <c r="C6" s="6">
        <v>380000</v>
      </c>
      <c r="D6" s="6">
        <v>220000</v>
      </c>
      <c r="E6" s="6">
        <v>490000</v>
      </c>
      <c r="F6" s="6">
        <f t="shared" si="0"/>
        <v>44.897959183673471</v>
      </c>
    </row>
    <row r="7" spans="1:6" x14ac:dyDescent="0.3">
      <c r="A7" s="6" t="s">
        <v>166</v>
      </c>
      <c r="B7" s="6">
        <v>700000</v>
      </c>
      <c r="C7" s="6">
        <v>430000</v>
      </c>
      <c r="D7" s="6">
        <v>260000</v>
      </c>
      <c r="E7" s="6">
        <v>560000</v>
      </c>
      <c r="F7" s="6">
        <f t="shared" si="0"/>
        <v>46.428571428571431</v>
      </c>
    </row>
    <row r="8" spans="1:6" x14ac:dyDescent="0.3">
      <c r="A8" s="6" t="s">
        <v>167</v>
      </c>
      <c r="B8" s="6">
        <v>810000</v>
      </c>
      <c r="C8" s="6">
        <v>500000</v>
      </c>
      <c r="D8" s="6">
        <v>300000</v>
      </c>
      <c r="E8" s="6">
        <v>640000</v>
      </c>
      <c r="F8" s="6">
        <f t="shared" si="0"/>
        <v>46.875</v>
      </c>
    </row>
    <row r="9" spans="1:6" x14ac:dyDescent="0.3">
      <c r="A9" s="6" t="s">
        <v>168</v>
      </c>
      <c r="B9" s="6">
        <v>890000</v>
      </c>
      <c r="C9" s="6">
        <v>550000</v>
      </c>
      <c r="D9" s="6">
        <v>340000</v>
      </c>
      <c r="E9" s="6">
        <v>710000</v>
      </c>
      <c r="F9" s="6">
        <f t="shared" si="0"/>
        <v>47.887323943661968</v>
      </c>
    </row>
    <row r="10" spans="1:6" x14ac:dyDescent="0.3">
      <c r="A10" s="6" t="s">
        <v>169</v>
      </c>
      <c r="B10" s="6">
        <v>970000</v>
      </c>
      <c r="C10" s="6">
        <v>610000</v>
      </c>
      <c r="D10" s="6">
        <v>390000</v>
      </c>
      <c r="E10" s="6">
        <v>780000</v>
      </c>
      <c r="F10" s="6">
        <f t="shared" si="0"/>
        <v>50</v>
      </c>
    </row>
    <row r="11" spans="1:6" x14ac:dyDescent="0.3">
      <c r="A11" s="6" t="s">
        <v>170</v>
      </c>
      <c r="B11" s="6">
        <v>1050000</v>
      </c>
      <c r="C11" s="6">
        <v>660000</v>
      </c>
      <c r="D11" s="6">
        <v>430000</v>
      </c>
      <c r="E11" s="6">
        <v>840000</v>
      </c>
      <c r="F11" s="6">
        <f t="shared" si="0"/>
        <v>51.19047619047619</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0"/>
  <sheetViews>
    <sheetView zoomScale="110" zoomScaleNormal="115" workbookViewId="0">
      <selection activeCell="K2" sqref="K2:K11"/>
    </sheetView>
  </sheetViews>
  <sheetFormatPr defaultColWidth="8.77734375" defaultRowHeight="14.4" x14ac:dyDescent="0.3"/>
  <cols>
    <col min="1" max="1" width="18.109375" bestFit="1" customWidth="1"/>
    <col min="2" max="2" width="19" bestFit="1" customWidth="1"/>
    <col min="3" max="3" width="13.21875" bestFit="1" customWidth="1"/>
    <col min="4" max="4" width="12.109375" bestFit="1" customWidth="1"/>
    <col min="5" max="5" width="18.21875" bestFit="1" customWidth="1"/>
    <col min="6" max="6" width="15.33203125" bestFit="1" customWidth="1"/>
    <col min="7" max="7" width="21" bestFit="1" customWidth="1"/>
    <col min="8" max="8" width="15.88671875" customWidth="1"/>
    <col min="9" max="9" width="16.33203125" bestFit="1" customWidth="1"/>
    <col min="10" max="10" width="20.6640625" bestFit="1" customWidth="1"/>
    <col min="11" max="11" width="22.5546875" bestFit="1" customWidth="1"/>
    <col min="12" max="12" width="15" bestFit="1" customWidth="1"/>
    <col min="13" max="13" width="15.109375" bestFit="1" customWidth="1"/>
    <col min="14" max="14" width="15.6640625" bestFit="1" customWidth="1"/>
    <col min="15" max="15" width="10.77734375" bestFit="1" customWidth="1"/>
  </cols>
  <sheetData>
    <row r="1" spans="1:15" x14ac:dyDescent="0.3">
      <c r="A1" s="4" t="s">
        <v>6</v>
      </c>
      <c r="B1" s="4" t="s">
        <v>7</v>
      </c>
      <c r="C1" s="4" t="s">
        <v>8</v>
      </c>
      <c r="D1" s="4" t="s">
        <v>9</v>
      </c>
      <c r="E1" s="4" t="s">
        <v>10</v>
      </c>
      <c r="F1" s="4" t="s">
        <v>11</v>
      </c>
      <c r="G1" s="4" t="s">
        <v>12</v>
      </c>
      <c r="H1" s="4" t="s">
        <v>13</v>
      </c>
      <c r="I1" s="4" t="s">
        <v>14</v>
      </c>
      <c r="J1" s="4" t="s">
        <v>15</v>
      </c>
      <c r="K1" s="4" t="s">
        <v>16</v>
      </c>
      <c r="L1" s="4" t="s">
        <v>17</v>
      </c>
      <c r="M1" s="4" t="s">
        <v>18</v>
      </c>
      <c r="N1" s="4" t="s">
        <v>19</v>
      </c>
      <c r="O1" s="4" t="s">
        <v>20</v>
      </c>
    </row>
    <row r="2" spans="1:15" x14ac:dyDescent="0.3">
      <c r="A2" s="6" t="s">
        <v>21</v>
      </c>
      <c r="B2" s="6" t="s">
        <v>22</v>
      </c>
      <c r="C2" s="7" t="s">
        <v>23</v>
      </c>
      <c r="D2" s="7" t="s">
        <v>24</v>
      </c>
      <c r="E2" s="6" t="s">
        <v>25</v>
      </c>
      <c r="F2" s="6" t="s">
        <v>26</v>
      </c>
      <c r="G2" s="6">
        <v>120000</v>
      </c>
      <c r="H2" s="7" t="s">
        <v>27</v>
      </c>
      <c r="I2" s="6">
        <v>65</v>
      </c>
      <c r="J2" s="20">
        <v>200000</v>
      </c>
      <c r="K2" s="6"/>
      <c r="L2" s="6" t="s">
        <v>28</v>
      </c>
      <c r="M2" s="6"/>
      <c r="N2" s="6"/>
      <c r="O2" s="6" t="s">
        <v>30</v>
      </c>
    </row>
    <row r="3" spans="1:15" x14ac:dyDescent="0.3">
      <c r="A3" s="6" t="s">
        <v>31</v>
      </c>
      <c r="B3" s="6" t="s">
        <v>32</v>
      </c>
      <c r="C3" s="7" t="s">
        <v>33</v>
      </c>
      <c r="D3" s="7" t="s">
        <v>34</v>
      </c>
      <c r="E3" s="6" t="s">
        <v>35</v>
      </c>
      <c r="F3" s="6" t="s">
        <v>36</v>
      </c>
      <c r="G3" s="6">
        <v>250000</v>
      </c>
      <c r="H3" s="7" t="s">
        <v>37</v>
      </c>
      <c r="I3" s="6">
        <v>80</v>
      </c>
      <c r="J3" s="20">
        <v>200000</v>
      </c>
      <c r="K3" s="6"/>
      <c r="L3" s="6" t="s">
        <v>38</v>
      </c>
      <c r="M3" s="6"/>
      <c r="N3" s="6"/>
      <c r="O3" s="6" t="s">
        <v>30</v>
      </c>
    </row>
    <row r="4" spans="1:15" x14ac:dyDescent="0.3">
      <c r="A4" s="6" t="s">
        <v>40</v>
      </c>
      <c r="B4" s="6" t="s">
        <v>41</v>
      </c>
      <c r="C4" s="7" t="s">
        <v>42</v>
      </c>
      <c r="D4" s="7" t="s">
        <v>43</v>
      </c>
      <c r="E4" s="6" t="s">
        <v>44</v>
      </c>
      <c r="F4" s="6" t="s">
        <v>45</v>
      </c>
      <c r="G4" s="6">
        <v>85000</v>
      </c>
      <c r="H4" s="7" t="s">
        <v>46</v>
      </c>
      <c r="I4" s="6">
        <v>30</v>
      </c>
      <c r="J4" s="20">
        <v>200000</v>
      </c>
      <c r="K4" s="6"/>
      <c r="L4" s="6" t="s">
        <v>47</v>
      </c>
      <c r="M4" s="6"/>
      <c r="N4" s="6"/>
      <c r="O4" s="6" t="s">
        <v>48</v>
      </c>
    </row>
    <row r="5" spans="1:15" x14ac:dyDescent="0.3">
      <c r="A5" s="6" t="s">
        <v>49</v>
      </c>
      <c r="B5" s="6" t="s">
        <v>50</v>
      </c>
      <c r="C5" s="7" t="s">
        <v>51</v>
      </c>
      <c r="D5" s="7" t="s">
        <v>24</v>
      </c>
      <c r="E5" s="6" t="s">
        <v>52</v>
      </c>
      <c r="F5" s="6" t="s">
        <v>53</v>
      </c>
      <c r="G5" s="6">
        <v>310000</v>
      </c>
      <c r="H5" s="7" t="s">
        <v>48</v>
      </c>
      <c r="I5" s="6">
        <v>95</v>
      </c>
      <c r="J5" s="20">
        <v>1000003</v>
      </c>
      <c r="K5" s="6"/>
      <c r="L5" s="6" t="s">
        <v>54</v>
      </c>
      <c r="M5" s="6"/>
      <c r="N5" s="6"/>
      <c r="O5" s="6" t="s">
        <v>48</v>
      </c>
    </row>
    <row r="6" spans="1:15" x14ac:dyDescent="0.3">
      <c r="A6" s="6" t="s">
        <v>56</v>
      </c>
      <c r="B6" s="6" t="s">
        <v>57</v>
      </c>
      <c r="C6" s="7" t="s">
        <v>23</v>
      </c>
      <c r="D6" s="7" t="s">
        <v>58</v>
      </c>
      <c r="E6" s="6" t="s">
        <v>59</v>
      </c>
      <c r="F6" s="6" t="s">
        <v>26</v>
      </c>
      <c r="G6" s="6">
        <v>175000</v>
      </c>
      <c r="H6" s="7" t="s">
        <v>27</v>
      </c>
      <c r="I6" s="6">
        <v>55</v>
      </c>
      <c r="J6" s="20">
        <v>1000003</v>
      </c>
      <c r="K6" s="6"/>
      <c r="L6" s="6" t="s">
        <v>28</v>
      </c>
      <c r="M6" s="6"/>
      <c r="N6" s="6"/>
      <c r="O6" s="6" t="s">
        <v>30</v>
      </c>
    </row>
    <row r="7" spans="1:15" x14ac:dyDescent="0.3">
      <c r="A7" s="6" t="s">
        <v>60</v>
      </c>
      <c r="B7" s="6" t="s">
        <v>61</v>
      </c>
      <c r="C7" s="7" t="s">
        <v>62</v>
      </c>
      <c r="D7" s="7" t="s">
        <v>24</v>
      </c>
      <c r="E7" s="6" t="s">
        <v>63</v>
      </c>
      <c r="F7" s="6" t="s">
        <v>45</v>
      </c>
      <c r="G7" s="6">
        <v>420000</v>
      </c>
      <c r="H7" s="7" t="s">
        <v>37</v>
      </c>
      <c r="I7" s="6">
        <v>75</v>
      </c>
      <c r="J7" s="20">
        <v>1000003</v>
      </c>
      <c r="K7" s="6"/>
      <c r="L7" s="6" t="s">
        <v>64</v>
      </c>
      <c r="M7" s="6"/>
      <c r="N7" s="6"/>
      <c r="O7" s="6" t="s">
        <v>30</v>
      </c>
    </row>
    <row r="8" spans="1:15" x14ac:dyDescent="0.3">
      <c r="A8" s="6" t="s">
        <v>65</v>
      </c>
      <c r="B8" s="6" t="s">
        <v>66</v>
      </c>
      <c r="C8" s="7" t="s">
        <v>23</v>
      </c>
      <c r="D8" s="7" t="s">
        <v>34</v>
      </c>
      <c r="E8" s="6" t="s">
        <v>67</v>
      </c>
      <c r="F8" s="6" t="s">
        <v>36</v>
      </c>
      <c r="G8" s="6">
        <v>95000</v>
      </c>
      <c r="H8" s="7" t="s">
        <v>46</v>
      </c>
      <c r="I8" s="6">
        <v>25</v>
      </c>
      <c r="J8" s="20">
        <v>1000003</v>
      </c>
      <c r="K8" s="6"/>
      <c r="L8" s="6" t="s">
        <v>68</v>
      </c>
      <c r="M8" s="6"/>
      <c r="N8" s="6"/>
      <c r="O8" s="6" t="s">
        <v>30</v>
      </c>
    </row>
    <row r="9" spans="1:15" x14ac:dyDescent="0.3">
      <c r="A9" s="6" t="s">
        <v>70</v>
      </c>
      <c r="B9" s="6" t="s">
        <v>71</v>
      </c>
      <c r="C9" s="7" t="s">
        <v>33</v>
      </c>
      <c r="D9" s="7" t="s">
        <v>43</v>
      </c>
      <c r="E9" s="6" t="s">
        <v>72</v>
      </c>
      <c r="F9" s="6" t="s">
        <v>53</v>
      </c>
      <c r="G9" s="6">
        <v>540000</v>
      </c>
      <c r="H9" s="7" t="s">
        <v>48</v>
      </c>
      <c r="I9" s="6">
        <v>90</v>
      </c>
      <c r="J9" s="20">
        <v>1000003</v>
      </c>
      <c r="K9" s="6"/>
      <c r="L9" s="6" t="s">
        <v>73</v>
      </c>
      <c r="M9" s="6"/>
      <c r="N9" s="6"/>
      <c r="O9" s="6" t="s">
        <v>48</v>
      </c>
    </row>
    <row r="10" spans="1:15" x14ac:dyDescent="0.3">
      <c r="A10" s="6" t="s">
        <v>74</v>
      </c>
      <c r="B10" s="6" t="s">
        <v>75</v>
      </c>
      <c r="C10" s="7" t="s">
        <v>42</v>
      </c>
      <c r="D10" s="7" t="s">
        <v>24</v>
      </c>
      <c r="E10" s="6" t="s">
        <v>76</v>
      </c>
      <c r="F10" s="6" t="s">
        <v>26</v>
      </c>
      <c r="G10" s="6">
        <v>230000</v>
      </c>
      <c r="H10" s="7" t="s">
        <v>27</v>
      </c>
      <c r="I10" s="6">
        <v>60</v>
      </c>
      <c r="J10" s="20">
        <v>1000003</v>
      </c>
      <c r="K10" s="6"/>
      <c r="L10" s="6" t="s">
        <v>38</v>
      </c>
      <c r="M10" s="6"/>
      <c r="N10" s="6"/>
      <c r="O10" s="6" t="s">
        <v>30</v>
      </c>
    </row>
    <row r="11" spans="1:15" x14ac:dyDescent="0.3">
      <c r="A11" s="6" t="s">
        <v>77</v>
      </c>
      <c r="B11" s="6" t="s">
        <v>78</v>
      </c>
      <c r="C11" s="7" t="s">
        <v>51</v>
      </c>
      <c r="D11" s="7" t="s">
        <v>58</v>
      </c>
      <c r="E11" s="6" t="s">
        <v>79</v>
      </c>
      <c r="F11" s="6" t="s">
        <v>45</v>
      </c>
      <c r="G11" s="6">
        <v>390000</v>
      </c>
      <c r="H11" s="7" t="s">
        <v>37</v>
      </c>
      <c r="I11" s="6">
        <v>70</v>
      </c>
      <c r="J11" s="20">
        <v>1000003</v>
      </c>
      <c r="K11" s="6"/>
      <c r="L11" s="6" t="s">
        <v>37</v>
      </c>
      <c r="M11" s="6"/>
      <c r="N11" s="6"/>
      <c r="O11" s="6" t="s">
        <v>30</v>
      </c>
    </row>
    <row r="12" spans="1:15" x14ac:dyDescent="0.3">
      <c r="A12" s="6" t="s">
        <v>192</v>
      </c>
      <c r="B12" s="6" t="s">
        <v>193</v>
      </c>
      <c r="C12" s="6" t="s">
        <v>23</v>
      </c>
      <c r="D12" s="6" t="s">
        <v>24</v>
      </c>
      <c r="E12" s="6" t="s">
        <v>194</v>
      </c>
      <c r="F12" s="6" t="s">
        <v>45</v>
      </c>
      <c r="G12" s="6">
        <v>10000000</v>
      </c>
      <c r="H12" s="7" t="s">
        <v>27</v>
      </c>
      <c r="I12" s="6">
        <v>80</v>
      </c>
      <c r="J12" s="20">
        <v>1000003</v>
      </c>
      <c r="K12" s="6"/>
      <c r="L12" s="6"/>
      <c r="M12" s="6"/>
      <c r="N12" s="6"/>
      <c r="O12" s="6"/>
    </row>
    <row r="13" spans="1:15" x14ac:dyDescent="0.3">
      <c r="A13" s="6"/>
      <c r="B13" s="6"/>
      <c r="C13" s="6"/>
      <c r="D13" s="6"/>
      <c r="E13" s="6"/>
      <c r="F13" s="6"/>
      <c r="G13" s="6"/>
      <c r="H13" s="7"/>
      <c r="I13" s="6"/>
      <c r="J13" s="5"/>
      <c r="K13" s="6"/>
      <c r="L13" s="6"/>
      <c r="M13" s="6"/>
      <c r="N13" s="6"/>
      <c r="O13" s="6"/>
    </row>
    <row r="14" spans="1:15" x14ac:dyDescent="0.3">
      <c r="H14" s="2"/>
    </row>
    <row r="15" spans="1:15" x14ac:dyDescent="0.3">
      <c r="H15" s="2"/>
    </row>
    <row r="16" spans="1:15" x14ac:dyDescent="0.3">
      <c r="H16" s="2"/>
    </row>
    <row r="17" spans="8:8" x14ac:dyDescent="0.3">
      <c r="H17" s="2"/>
    </row>
    <row r="18" spans="8:8" x14ac:dyDescent="0.3">
      <c r="H18" s="2"/>
    </row>
    <row r="19" spans="8:8" x14ac:dyDescent="0.3">
      <c r="H19" s="2"/>
    </row>
    <row r="20" spans="8:8" x14ac:dyDescent="0.3">
      <c r="H20" s="2"/>
    </row>
    <row r="21" spans="8:8" x14ac:dyDescent="0.3">
      <c r="H21" s="2"/>
    </row>
    <row r="22" spans="8:8" x14ac:dyDescent="0.3">
      <c r="H22" s="2"/>
    </row>
    <row r="23" spans="8:8" x14ac:dyDescent="0.3">
      <c r="H23" s="2"/>
    </row>
    <row r="24" spans="8:8" x14ac:dyDescent="0.3">
      <c r="H24" s="2"/>
    </row>
    <row r="25" spans="8:8" x14ac:dyDescent="0.3">
      <c r="H25" s="2"/>
    </row>
    <row r="26" spans="8:8" x14ac:dyDescent="0.3">
      <c r="H26" s="2"/>
    </row>
    <row r="27" spans="8:8" x14ac:dyDescent="0.3">
      <c r="H27" s="2"/>
    </row>
    <row r="28" spans="8:8" x14ac:dyDescent="0.3">
      <c r="H28" s="2"/>
    </row>
    <row r="29" spans="8:8" x14ac:dyDescent="0.3">
      <c r="H29" s="2"/>
    </row>
    <row r="30" spans="8:8" x14ac:dyDescent="0.3">
      <c r="H30" s="2"/>
    </row>
    <row r="31" spans="8:8" x14ac:dyDescent="0.3">
      <c r="H31" s="2"/>
    </row>
    <row r="32" spans="8:8" x14ac:dyDescent="0.3">
      <c r="H32" s="2"/>
    </row>
    <row r="33" spans="8:8" x14ac:dyDescent="0.3">
      <c r="H33" s="2"/>
    </row>
    <row r="34" spans="8:8" x14ac:dyDescent="0.3">
      <c r="H34" s="2"/>
    </row>
    <row r="35" spans="8:8" x14ac:dyDescent="0.3">
      <c r="H35" s="2"/>
    </row>
    <row r="36" spans="8:8" x14ac:dyDescent="0.3">
      <c r="H36" s="2"/>
    </row>
    <row r="37" spans="8:8" x14ac:dyDescent="0.3">
      <c r="H37" s="2"/>
    </row>
    <row r="38" spans="8:8" x14ac:dyDescent="0.3">
      <c r="H38" s="2"/>
    </row>
    <row r="39" spans="8:8" x14ac:dyDescent="0.3">
      <c r="H39" s="2"/>
    </row>
    <row r="40" spans="8:8" x14ac:dyDescent="0.3">
      <c r="H40" s="2"/>
    </row>
    <row r="41" spans="8:8" x14ac:dyDescent="0.3">
      <c r="H41" s="2"/>
    </row>
    <row r="42" spans="8:8" x14ac:dyDescent="0.3">
      <c r="H42" s="2"/>
    </row>
    <row r="43" spans="8:8" x14ac:dyDescent="0.3">
      <c r="H43" s="2"/>
    </row>
    <row r="44" spans="8:8" x14ac:dyDescent="0.3">
      <c r="H44" s="2"/>
    </row>
    <row r="45" spans="8:8" x14ac:dyDescent="0.3">
      <c r="H45" s="2"/>
    </row>
    <row r="46" spans="8:8" x14ac:dyDescent="0.3">
      <c r="H46" s="2"/>
    </row>
    <row r="47" spans="8:8" x14ac:dyDescent="0.3">
      <c r="H47" s="2"/>
    </row>
    <row r="48" spans="8:8" x14ac:dyDescent="0.3">
      <c r="H48" s="2"/>
    </row>
    <row r="49" spans="8:8" x14ac:dyDescent="0.3">
      <c r="H49" s="2"/>
    </row>
    <row r="50" spans="8:8" x14ac:dyDescent="0.3">
      <c r="H50" s="2"/>
    </row>
    <row r="51" spans="8:8" x14ac:dyDescent="0.3">
      <c r="H51" s="2"/>
    </row>
    <row r="52" spans="8:8" x14ac:dyDescent="0.3">
      <c r="H52" s="2"/>
    </row>
    <row r="53" spans="8:8" x14ac:dyDescent="0.3">
      <c r="H53" s="2"/>
    </row>
    <row r="54" spans="8:8" x14ac:dyDescent="0.3">
      <c r="H54" s="2"/>
    </row>
    <row r="55" spans="8:8" x14ac:dyDescent="0.3">
      <c r="H55" s="2"/>
    </row>
    <row r="56" spans="8:8" x14ac:dyDescent="0.3">
      <c r="H56" s="2"/>
    </row>
    <row r="57" spans="8:8" x14ac:dyDescent="0.3">
      <c r="H57" s="2"/>
    </row>
    <row r="58" spans="8:8" x14ac:dyDescent="0.3">
      <c r="H58" s="2"/>
    </row>
    <row r="59" spans="8:8" x14ac:dyDescent="0.3">
      <c r="H59" s="2"/>
    </row>
    <row r="60" spans="8:8" x14ac:dyDescent="0.3">
      <c r="H60" s="2"/>
    </row>
    <row r="61" spans="8:8" x14ac:dyDescent="0.3">
      <c r="H61" s="2"/>
    </row>
    <row r="62" spans="8:8" x14ac:dyDescent="0.3">
      <c r="H62" s="2"/>
    </row>
    <row r="63" spans="8:8" x14ac:dyDescent="0.3">
      <c r="H63" s="2"/>
    </row>
    <row r="64" spans="8:8" x14ac:dyDescent="0.3">
      <c r="H64" s="2"/>
    </row>
    <row r="65" spans="8:8" x14ac:dyDescent="0.3">
      <c r="H65" s="2"/>
    </row>
    <row r="66" spans="8:8" x14ac:dyDescent="0.3">
      <c r="H66" s="2"/>
    </row>
    <row r="67" spans="8:8" x14ac:dyDescent="0.3">
      <c r="H67" s="2"/>
    </row>
    <row r="68" spans="8:8" x14ac:dyDescent="0.3">
      <c r="H68" s="2"/>
    </row>
    <row r="69" spans="8:8" x14ac:dyDescent="0.3">
      <c r="H69" s="2"/>
    </row>
    <row r="70" spans="8:8" x14ac:dyDescent="0.3">
      <c r="H70" s="2"/>
    </row>
    <row r="71" spans="8:8" x14ac:dyDescent="0.3">
      <c r="H71" s="2"/>
    </row>
    <row r="72" spans="8:8" x14ac:dyDescent="0.3">
      <c r="H72" s="2"/>
    </row>
    <row r="73" spans="8:8" x14ac:dyDescent="0.3">
      <c r="H73" s="2"/>
    </row>
    <row r="74" spans="8:8" x14ac:dyDescent="0.3">
      <c r="H74" s="2"/>
    </row>
    <row r="75" spans="8:8" x14ac:dyDescent="0.3">
      <c r="H75" s="2"/>
    </row>
    <row r="76" spans="8:8" x14ac:dyDescent="0.3">
      <c r="H76" s="2"/>
    </row>
    <row r="77" spans="8:8" x14ac:dyDescent="0.3">
      <c r="H77" s="2"/>
    </row>
    <row r="78" spans="8:8" x14ac:dyDescent="0.3">
      <c r="H78" s="2"/>
    </row>
    <row r="79" spans="8:8" x14ac:dyDescent="0.3">
      <c r="H79" s="2"/>
    </row>
    <row r="80" spans="8:8" x14ac:dyDescent="0.3">
      <c r="H80" s="2"/>
    </row>
    <row r="81" spans="8:8" x14ac:dyDescent="0.3">
      <c r="H81" s="2"/>
    </row>
    <row r="82" spans="8:8" x14ac:dyDescent="0.3">
      <c r="H82" s="2"/>
    </row>
    <row r="83" spans="8:8" x14ac:dyDescent="0.3">
      <c r="H83" s="2"/>
    </row>
    <row r="84" spans="8:8" x14ac:dyDescent="0.3">
      <c r="H84" s="2"/>
    </row>
    <row r="85" spans="8:8" x14ac:dyDescent="0.3">
      <c r="H85" s="2"/>
    </row>
    <row r="86" spans="8:8" x14ac:dyDescent="0.3">
      <c r="H86" s="2"/>
    </row>
    <row r="87" spans="8:8" x14ac:dyDescent="0.3">
      <c r="H87" s="2"/>
    </row>
    <row r="88" spans="8:8" x14ac:dyDescent="0.3">
      <c r="H88" s="2"/>
    </row>
    <row r="89" spans="8:8" x14ac:dyDescent="0.3">
      <c r="H89" s="2"/>
    </row>
    <row r="90" spans="8:8" x14ac:dyDescent="0.3">
      <c r="H90" s="2"/>
    </row>
    <row r="91" spans="8:8" x14ac:dyDescent="0.3">
      <c r="H91" s="2"/>
    </row>
    <row r="92" spans="8:8" x14ac:dyDescent="0.3">
      <c r="H92" s="2"/>
    </row>
    <row r="93" spans="8:8" x14ac:dyDescent="0.3">
      <c r="H93" s="2"/>
    </row>
    <row r="94" spans="8:8" x14ac:dyDescent="0.3">
      <c r="H94" s="2"/>
    </row>
    <row r="95" spans="8:8" x14ac:dyDescent="0.3">
      <c r="H95" s="2"/>
    </row>
    <row r="96" spans="8:8" x14ac:dyDescent="0.3">
      <c r="H96" s="2"/>
    </row>
    <row r="97" spans="8:8" x14ac:dyDescent="0.3">
      <c r="H97" s="2"/>
    </row>
    <row r="98" spans="8:8" x14ac:dyDescent="0.3">
      <c r="H98" s="2"/>
    </row>
    <row r="99" spans="8:8" x14ac:dyDescent="0.3">
      <c r="H99" s="2"/>
    </row>
    <row r="100" spans="8:8" x14ac:dyDescent="0.3">
      <c r="H100" s="2"/>
    </row>
    <row r="101" spans="8:8" x14ac:dyDescent="0.3">
      <c r="H101" s="2"/>
    </row>
    <row r="102" spans="8:8" x14ac:dyDescent="0.3">
      <c r="H102" s="2"/>
    </row>
    <row r="103" spans="8:8" x14ac:dyDescent="0.3">
      <c r="H103" s="2"/>
    </row>
    <row r="104" spans="8:8" x14ac:dyDescent="0.3">
      <c r="H104" s="2"/>
    </row>
    <row r="105" spans="8:8" x14ac:dyDescent="0.3">
      <c r="H105" s="2"/>
    </row>
    <row r="106" spans="8:8" x14ac:dyDescent="0.3">
      <c r="H106" s="2"/>
    </row>
    <row r="107" spans="8:8" x14ac:dyDescent="0.3">
      <c r="H107" s="2"/>
    </row>
    <row r="108" spans="8:8" x14ac:dyDescent="0.3">
      <c r="H108" s="2"/>
    </row>
    <row r="109" spans="8:8" x14ac:dyDescent="0.3">
      <c r="H109" s="2"/>
    </row>
    <row r="110" spans="8:8" x14ac:dyDescent="0.3">
      <c r="H110" s="2"/>
    </row>
    <row r="111" spans="8:8" x14ac:dyDescent="0.3">
      <c r="H111" s="2"/>
    </row>
    <row r="112" spans="8:8" x14ac:dyDescent="0.3">
      <c r="H112" s="2"/>
    </row>
    <row r="113" spans="8:8" x14ac:dyDescent="0.3">
      <c r="H113" s="2"/>
    </row>
    <row r="114" spans="8:8" x14ac:dyDescent="0.3">
      <c r="H114" s="2"/>
    </row>
    <row r="115" spans="8:8" x14ac:dyDescent="0.3">
      <c r="H115" s="2"/>
    </row>
    <row r="116" spans="8:8" x14ac:dyDescent="0.3">
      <c r="H116" s="2"/>
    </row>
    <row r="117" spans="8:8" x14ac:dyDescent="0.3">
      <c r="H117" s="2"/>
    </row>
    <row r="118" spans="8:8" x14ac:dyDescent="0.3">
      <c r="H118" s="2"/>
    </row>
    <row r="119" spans="8:8" x14ac:dyDescent="0.3">
      <c r="H119" s="2"/>
    </row>
    <row r="120" spans="8:8" x14ac:dyDescent="0.3">
      <c r="H120" s="2"/>
    </row>
    <row r="121" spans="8:8" x14ac:dyDescent="0.3">
      <c r="H121" s="2"/>
    </row>
    <row r="122" spans="8:8" x14ac:dyDescent="0.3">
      <c r="H122" s="2"/>
    </row>
    <row r="123" spans="8:8" x14ac:dyDescent="0.3">
      <c r="H123" s="2"/>
    </row>
    <row r="124" spans="8:8" x14ac:dyDescent="0.3">
      <c r="H124" s="2"/>
    </row>
    <row r="125" spans="8:8" x14ac:dyDescent="0.3">
      <c r="H125" s="2"/>
    </row>
    <row r="126" spans="8:8" x14ac:dyDescent="0.3">
      <c r="H126" s="2"/>
    </row>
    <row r="127" spans="8:8" x14ac:dyDescent="0.3">
      <c r="H127" s="2"/>
    </row>
    <row r="128" spans="8:8" x14ac:dyDescent="0.3">
      <c r="H128" s="2"/>
    </row>
    <row r="129" spans="8:8" x14ac:dyDescent="0.3">
      <c r="H129" s="2"/>
    </row>
    <row r="130" spans="8:8" x14ac:dyDescent="0.3">
      <c r="H130" s="2"/>
    </row>
    <row r="131" spans="8:8" x14ac:dyDescent="0.3">
      <c r="H131" s="2"/>
    </row>
    <row r="132" spans="8:8" x14ac:dyDescent="0.3">
      <c r="H132" s="2"/>
    </row>
    <row r="133" spans="8:8" x14ac:dyDescent="0.3">
      <c r="H133" s="2"/>
    </row>
    <row r="134" spans="8:8" x14ac:dyDescent="0.3">
      <c r="H134" s="2"/>
    </row>
    <row r="135" spans="8:8" x14ac:dyDescent="0.3">
      <c r="H135" s="2"/>
    </row>
    <row r="136" spans="8:8" x14ac:dyDescent="0.3">
      <c r="H136" s="2"/>
    </row>
    <row r="137" spans="8:8" x14ac:dyDescent="0.3">
      <c r="H137" s="2"/>
    </row>
    <row r="138" spans="8:8" x14ac:dyDescent="0.3">
      <c r="H138" s="2"/>
    </row>
    <row r="139" spans="8:8" x14ac:dyDescent="0.3">
      <c r="H139" s="2"/>
    </row>
    <row r="140" spans="8:8" x14ac:dyDescent="0.3">
      <c r="H140" s="2"/>
    </row>
    <row r="141" spans="8:8" x14ac:dyDescent="0.3">
      <c r="H141" s="2"/>
    </row>
    <row r="142" spans="8:8" x14ac:dyDescent="0.3">
      <c r="H142" s="2"/>
    </row>
    <row r="143" spans="8:8" x14ac:dyDescent="0.3">
      <c r="H143" s="2"/>
    </row>
    <row r="144" spans="8:8" x14ac:dyDescent="0.3">
      <c r="H144" s="2"/>
    </row>
    <row r="145" spans="8:8" x14ac:dyDescent="0.3">
      <c r="H145" s="2"/>
    </row>
    <row r="146" spans="8:8" x14ac:dyDescent="0.3">
      <c r="H146" s="2"/>
    </row>
    <row r="147" spans="8:8" x14ac:dyDescent="0.3">
      <c r="H147" s="2"/>
    </row>
    <row r="148" spans="8:8" x14ac:dyDescent="0.3">
      <c r="H148" s="2"/>
    </row>
    <row r="149" spans="8:8" x14ac:dyDescent="0.3">
      <c r="H149" s="2"/>
    </row>
    <row r="150" spans="8:8" x14ac:dyDescent="0.3">
      <c r="H150" s="2"/>
    </row>
    <row r="151" spans="8:8" x14ac:dyDescent="0.3">
      <c r="H151" s="2"/>
    </row>
    <row r="152" spans="8:8" x14ac:dyDescent="0.3">
      <c r="H152" s="2"/>
    </row>
    <row r="153" spans="8:8" x14ac:dyDescent="0.3">
      <c r="H153" s="2"/>
    </row>
    <row r="154" spans="8:8" x14ac:dyDescent="0.3">
      <c r="H154" s="2"/>
    </row>
    <row r="155" spans="8:8" x14ac:dyDescent="0.3">
      <c r="H155" s="2"/>
    </row>
    <row r="156" spans="8:8" x14ac:dyDescent="0.3">
      <c r="H156" s="2"/>
    </row>
    <row r="157" spans="8:8" x14ac:dyDescent="0.3">
      <c r="H157" s="2"/>
    </row>
    <row r="158" spans="8:8" x14ac:dyDescent="0.3">
      <c r="H158" s="2"/>
    </row>
    <row r="159" spans="8:8" x14ac:dyDescent="0.3">
      <c r="H159" s="2"/>
    </row>
    <row r="160" spans="8:8" x14ac:dyDescent="0.3">
      <c r="H160" s="2"/>
    </row>
    <row r="161" spans="8:8" x14ac:dyDescent="0.3">
      <c r="H161" s="2"/>
    </row>
    <row r="162" spans="8:8" x14ac:dyDescent="0.3">
      <c r="H162" s="2"/>
    </row>
    <row r="163" spans="8:8" x14ac:dyDescent="0.3">
      <c r="H163" s="2"/>
    </row>
    <row r="164" spans="8:8" x14ac:dyDescent="0.3">
      <c r="H164" s="2"/>
    </row>
    <row r="165" spans="8:8" x14ac:dyDescent="0.3">
      <c r="H165" s="2"/>
    </row>
    <row r="166" spans="8:8" x14ac:dyDescent="0.3">
      <c r="H166" s="2"/>
    </row>
    <row r="167" spans="8:8" x14ac:dyDescent="0.3">
      <c r="H167" s="2"/>
    </row>
    <row r="168" spans="8:8" x14ac:dyDescent="0.3">
      <c r="H168" s="2"/>
    </row>
    <row r="169" spans="8:8" x14ac:dyDescent="0.3">
      <c r="H169" s="2"/>
    </row>
    <row r="170" spans="8:8" x14ac:dyDescent="0.3">
      <c r="H170" s="2"/>
    </row>
    <row r="171" spans="8:8" x14ac:dyDescent="0.3">
      <c r="H171" s="2"/>
    </row>
    <row r="172" spans="8:8" x14ac:dyDescent="0.3">
      <c r="H172" s="2"/>
    </row>
    <row r="173" spans="8:8" x14ac:dyDescent="0.3">
      <c r="H173" s="2"/>
    </row>
    <row r="174" spans="8:8" x14ac:dyDescent="0.3">
      <c r="H174" s="2"/>
    </row>
    <row r="175" spans="8:8" x14ac:dyDescent="0.3">
      <c r="H175" s="2"/>
    </row>
    <row r="176" spans="8:8" x14ac:dyDescent="0.3">
      <c r="H176" s="2"/>
    </row>
    <row r="177" spans="8:8" x14ac:dyDescent="0.3">
      <c r="H177" s="2"/>
    </row>
    <row r="178" spans="8:8" x14ac:dyDescent="0.3">
      <c r="H178" s="2"/>
    </row>
    <row r="179" spans="8:8" x14ac:dyDescent="0.3">
      <c r="H179" s="2"/>
    </row>
    <row r="180" spans="8:8" x14ac:dyDescent="0.3">
      <c r="H180" s="2"/>
    </row>
    <row r="181" spans="8:8" x14ac:dyDescent="0.3">
      <c r="H181" s="2"/>
    </row>
    <row r="182" spans="8:8" x14ac:dyDescent="0.3">
      <c r="H182" s="2"/>
    </row>
    <row r="183" spans="8:8" x14ac:dyDescent="0.3">
      <c r="H183" s="2"/>
    </row>
    <row r="184" spans="8:8" x14ac:dyDescent="0.3">
      <c r="H184" s="2"/>
    </row>
    <row r="185" spans="8:8" x14ac:dyDescent="0.3">
      <c r="H185" s="2"/>
    </row>
    <row r="186" spans="8:8" x14ac:dyDescent="0.3">
      <c r="H186" s="2"/>
    </row>
    <row r="187" spans="8:8" x14ac:dyDescent="0.3">
      <c r="H187" s="2"/>
    </row>
    <row r="188" spans="8:8" x14ac:dyDescent="0.3">
      <c r="H188" s="2"/>
    </row>
    <row r="189" spans="8:8" x14ac:dyDescent="0.3">
      <c r="H189" s="2"/>
    </row>
    <row r="190" spans="8:8" x14ac:dyDescent="0.3">
      <c r="H190" s="2"/>
    </row>
    <row r="191" spans="8:8" x14ac:dyDescent="0.3">
      <c r="H191" s="2"/>
    </row>
    <row r="192" spans="8:8" x14ac:dyDescent="0.3">
      <c r="H192" s="2"/>
    </row>
    <row r="193" spans="8:8" x14ac:dyDescent="0.3">
      <c r="H193" s="2"/>
    </row>
    <row r="194" spans="8:8" x14ac:dyDescent="0.3">
      <c r="H194" s="2"/>
    </row>
    <row r="195" spans="8:8" x14ac:dyDescent="0.3">
      <c r="H195" s="2"/>
    </row>
    <row r="196" spans="8:8" x14ac:dyDescent="0.3">
      <c r="H196" s="2"/>
    </row>
    <row r="197" spans="8:8" x14ac:dyDescent="0.3">
      <c r="H197" s="2"/>
    </row>
    <row r="198" spans="8:8" x14ac:dyDescent="0.3">
      <c r="H198" s="2"/>
    </row>
    <row r="199" spans="8:8" x14ac:dyDescent="0.3">
      <c r="H199" s="2"/>
    </row>
    <row r="200" spans="8:8" x14ac:dyDescent="0.3">
      <c r="H200" s="2"/>
    </row>
    <row r="201" spans="8:8" x14ac:dyDescent="0.3">
      <c r="H201" s="2"/>
    </row>
    <row r="202" spans="8:8" x14ac:dyDescent="0.3">
      <c r="H202" s="2"/>
    </row>
    <row r="203" spans="8:8" x14ac:dyDescent="0.3">
      <c r="H203" s="2"/>
    </row>
    <row r="204" spans="8:8" x14ac:dyDescent="0.3">
      <c r="H204" s="2"/>
    </row>
    <row r="205" spans="8:8" x14ac:dyDescent="0.3">
      <c r="H205" s="2"/>
    </row>
    <row r="206" spans="8:8" x14ac:dyDescent="0.3">
      <c r="H206" s="2"/>
    </row>
    <row r="207" spans="8:8" x14ac:dyDescent="0.3">
      <c r="H207" s="2"/>
    </row>
    <row r="208" spans="8:8" x14ac:dyDescent="0.3">
      <c r="H208" s="2"/>
    </row>
    <row r="209" spans="8:8" x14ac:dyDescent="0.3">
      <c r="H209" s="2"/>
    </row>
    <row r="210" spans="8:8" x14ac:dyDescent="0.3">
      <c r="H210" s="2"/>
    </row>
    <row r="211" spans="8:8" x14ac:dyDescent="0.3">
      <c r="H211" s="2"/>
    </row>
    <row r="212" spans="8:8" x14ac:dyDescent="0.3">
      <c r="H212" s="2"/>
    </row>
    <row r="213" spans="8:8" x14ac:dyDescent="0.3">
      <c r="H213" s="2"/>
    </row>
    <row r="214" spans="8:8" x14ac:dyDescent="0.3">
      <c r="H214" s="2"/>
    </row>
    <row r="215" spans="8:8" x14ac:dyDescent="0.3">
      <c r="H215" s="2"/>
    </row>
    <row r="216" spans="8:8" x14ac:dyDescent="0.3">
      <c r="H216" s="2"/>
    </row>
    <row r="217" spans="8:8" x14ac:dyDescent="0.3">
      <c r="H217" s="2"/>
    </row>
    <row r="218" spans="8:8" x14ac:dyDescent="0.3">
      <c r="H218" s="2"/>
    </row>
    <row r="219" spans="8:8" x14ac:dyDescent="0.3">
      <c r="H219" s="2"/>
    </row>
    <row r="220" spans="8:8" x14ac:dyDescent="0.3">
      <c r="H220" s="2"/>
    </row>
    <row r="221" spans="8:8" x14ac:dyDescent="0.3">
      <c r="H221" s="2"/>
    </row>
    <row r="222" spans="8:8" x14ac:dyDescent="0.3">
      <c r="H222" s="2"/>
    </row>
    <row r="223" spans="8:8" x14ac:dyDescent="0.3">
      <c r="H223" s="2"/>
    </row>
    <row r="224" spans="8:8" x14ac:dyDescent="0.3">
      <c r="H224" s="2"/>
    </row>
    <row r="225" spans="8:8" x14ac:dyDescent="0.3">
      <c r="H225" s="2"/>
    </row>
    <row r="226" spans="8:8" x14ac:dyDescent="0.3">
      <c r="H226" s="2"/>
    </row>
    <row r="227" spans="8:8" x14ac:dyDescent="0.3">
      <c r="H227" s="2"/>
    </row>
    <row r="228" spans="8:8" x14ac:dyDescent="0.3">
      <c r="H228" s="2"/>
    </row>
    <row r="229" spans="8:8" x14ac:dyDescent="0.3">
      <c r="H229" s="2"/>
    </row>
    <row r="230" spans="8:8" x14ac:dyDescent="0.3">
      <c r="H230" s="2"/>
    </row>
    <row r="231" spans="8:8" x14ac:dyDescent="0.3">
      <c r="H231" s="2"/>
    </row>
    <row r="232" spans="8:8" x14ac:dyDescent="0.3">
      <c r="H232" s="2"/>
    </row>
    <row r="233" spans="8:8" x14ac:dyDescent="0.3">
      <c r="H233" s="2"/>
    </row>
    <row r="234" spans="8:8" x14ac:dyDescent="0.3">
      <c r="H234" s="2"/>
    </row>
    <row r="235" spans="8:8" x14ac:dyDescent="0.3">
      <c r="H235" s="2"/>
    </row>
    <row r="236" spans="8:8" x14ac:dyDescent="0.3">
      <c r="H236" s="2"/>
    </row>
    <row r="237" spans="8:8" x14ac:dyDescent="0.3">
      <c r="H237" s="2"/>
    </row>
    <row r="238" spans="8:8" x14ac:dyDescent="0.3">
      <c r="H238" s="2"/>
    </row>
    <row r="239" spans="8:8" x14ac:dyDescent="0.3">
      <c r="H239" s="2"/>
    </row>
    <row r="240" spans="8:8" x14ac:dyDescent="0.3">
      <c r="H240" s="2"/>
    </row>
    <row r="241" spans="8:8" x14ac:dyDescent="0.3">
      <c r="H241" s="2"/>
    </row>
    <row r="242" spans="8:8" x14ac:dyDescent="0.3">
      <c r="H242" s="2"/>
    </row>
    <row r="243" spans="8:8" x14ac:dyDescent="0.3">
      <c r="H243" s="2"/>
    </row>
    <row r="244" spans="8:8" x14ac:dyDescent="0.3">
      <c r="H244" s="2"/>
    </row>
    <row r="245" spans="8:8" x14ac:dyDescent="0.3">
      <c r="H245" s="2"/>
    </row>
    <row r="246" spans="8:8" x14ac:dyDescent="0.3">
      <c r="H246" s="2"/>
    </row>
    <row r="247" spans="8:8" x14ac:dyDescent="0.3">
      <c r="H247" s="2"/>
    </row>
    <row r="248" spans="8:8" x14ac:dyDescent="0.3">
      <c r="H248" s="2"/>
    </row>
    <row r="249" spans="8:8" x14ac:dyDescent="0.3">
      <c r="H249" s="2"/>
    </row>
    <row r="250" spans="8:8" x14ac:dyDescent="0.3">
      <c r="H250" s="2"/>
    </row>
    <row r="251" spans="8:8" x14ac:dyDescent="0.3">
      <c r="H251" s="2"/>
    </row>
    <row r="252" spans="8:8" x14ac:dyDescent="0.3">
      <c r="H252" s="2"/>
    </row>
    <row r="253" spans="8:8" x14ac:dyDescent="0.3">
      <c r="H253" s="2"/>
    </row>
    <row r="254" spans="8:8" x14ac:dyDescent="0.3">
      <c r="H254" s="2"/>
    </row>
    <row r="255" spans="8:8" x14ac:dyDescent="0.3">
      <c r="H255" s="2"/>
    </row>
    <row r="256" spans="8:8" x14ac:dyDescent="0.3">
      <c r="H256" s="2"/>
    </row>
    <row r="257" spans="8:8" x14ac:dyDescent="0.3">
      <c r="H257" s="2"/>
    </row>
    <row r="258" spans="8:8" x14ac:dyDescent="0.3">
      <c r="H258" s="2"/>
    </row>
    <row r="259" spans="8:8" x14ac:dyDescent="0.3">
      <c r="H259" s="2"/>
    </row>
    <row r="260" spans="8:8" x14ac:dyDescent="0.3">
      <c r="H260" s="2"/>
    </row>
    <row r="261" spans="8:8" x14ac:dyDescent="0.3">
      <c r="H261" s="2"/>
    </row>
    <row r="262" spans="8:8" x14ac:dyDescent="0.3">
      <c r="H262" s="2"/>
    </row>
    <row r="263" spans="8:8" x14ac:dyDescent="0.3">
      <c r="H263" s="2"/>
    </row>
    <row r="264" spans="8:8" x14ac:dyDescent="0.3">
      <c r="H264" s="2"/>
    </row>
    <row r="265" spans="8:8" x14ac:dyDescent="0.3">
      <c r="H265" s="2"/>
    </row>
    <row r="266" spans="8:8" x14ac:dyDescent="0.3">
      <c r="H266" s="2"/>
    </row>
    <row r="267" spans="8:8" x14ac:dyDescent="0.3">
      <c r="H267" s="2"/>
    </row>
    <row r="268" spans="8:8" x14ac:dyDescent="0.3">
      <c r="H268" s="2"/>
    </row>
    <row r="269" spans="8:8" x14ac:dyDescent="0.3">
      <c r="H269" s="2"/>
    </row>
    <row r="270" spans="8:8" x14ac:dyDescent="0.3">
      <c r="H270" s="2"/>
    </row>
    <row r="271" spans="8:8" x14ac:dyDescent="0.3">
      <c r="H271" s="2"/>
    </row>
    <row r="272" spans="8:8" x14ac:dyDescent="0.3">
      <c r="H272" s="2"/>
    </row>
    <row r="273" spans="8:8" x14ac:dyDescent="0.3">
      <c r="H273" s="2"/>
    </row>
    <row r="274" spans="8:8" x14ac:dyDescent="0.3">
      <c r="H274" s="2"/>
    </row>
    <row r="275" spans="8:8" x14ac:dyDescent="0.3">
      <c r="H275" s="2"/>
    </row>
    <row r="276" spans="8:8" x14ac:dyDescent="0.3">
      <c r="H276" s="2"/>
    </row>
    <row r="277" spans="8:8" x14ac:dyDescent="0.3">
      <c r="H277" s="2"/>
    </row>
    <row r="278" spans="8:8" x14ac:dyDescent="0.3">
      <c r="H278" s="2"/>
    </row>
    <row r="279" spans="8:8" x14ac:dyDescent="0.3">
      <c r="H279" s="2"/>
    </row>
    <row r="280" spans="8:8" x14ac:dyDescent="0.3">
      <c r="H280" s="2"/>
    </row>
    <row r="281" spans="8:8" x14ac:dyDescent="0.3">
      <c r="H281" s="2"/>
    </row>
    <row r="282" spans="8:8" x14ac:dyDescent="0.3">
      <c r="H282" s="2"/>
    </row>
    <row r="283" spans="8:8" x14ac:dyDescent="0.3">
      <c r="H283" s="2"/>
    </row>
    <row r="284" spans="8:8" x14ac:dyDescent="0.3">
      <c r="H284" s="2"/>
    </row>
    <row r="285" spans="8:8" x14ac:dyDescent="0.3">
      <c r="H285" s="2"/>
    </row>
    <row r="286" spans="8:8" x14ac:dyDescent="0.3">
      <c r="H286" s="2"/>
    </row>
    <row r="287" spans="8:8" x14ac:dyDescent="0.3">
      <c r="H287" s="2"/>
    </row>
    <row r="288" spans="8:8" x14ac:dyDescent="0.3">
      <c r="H288" s="2"/>
    </row>
    <row r="289" spans="8:8" x14ac:dyDescent="0.3">
      <c r="H289" s="2"/>
    </row>
    <row r="290" spans="8:8" x14ac:dyDescent="0.3">
      <c r="H290" s="2"/>
    </row>
    <row r="291" spans="8:8" x14ac:dyDescent="0.3">
      <c r="H291" s="2"/>
    </row>
    <row r="292" spans="8:8" x14ac:dyDescent="0.3">
      <c r="H292" s="2"/>
    </row>
    <row r="293" spans="8:8" x14ac:dyDescent="0.3">
      <c r="H293" s="2"/>
    </row>
    <row r="294" spans="8:8" x14ac:dyDescent="0.3">
      <c r="H294" s="2"/>
    </row>
    <row r="295" spans="8:8" x14ac:dyDescent="0.3">
      <c r="H295" s="2"/>
    </row>
    <row r="296" spans="8:8" x14ac:dyDescent="0.3">
      <c r="H296" s="2"/>
    </row>
    <row r="297" spans="8:8" x14ac:dyDescent="0.3">
      <c r="H297" s="2"/>
    </row>
    <row r="298" spans="8:8" x14ac:dyDescent="0.3">
      <c r="H298" s="2"/>
    </row>
    <row r="299" spans="8:8" x14ac:dyDescent="0.3">
      <c r="H299" s="2"/>
    </row>
    <row r="300" spans="8:8" x14ac:dyDescent="0.3">
      <c r="H300" s="2"/>
    </row>
    <row r="301" spans="8:8" x14ac:dyDescent="0.3">
      <c r="H301" s="2"/>
    </row>
    <row r="302" spans="8:8" x14ac:dyDescent="0.3">
      <c r="H302" s="2"/>
    </row>
    <row r="303" spans="8:8" x14ac:dyDescent="0.3">
      <c r="H303" s="2"/>
    </row>
    <row r="304" spans="8:8" x14ac:dyDescent="0.3">
      <c r="H304" s="2"/>
    </row>
    <row r="305" spans="8:8" x14ac:dyDescent="0.3">
      <c r="H305" s="2"/>
    </row>
    <row r="306" spans="8:8" x14ac:dyDescent="0.3">
      <c r="H306" s="2"/>
    </row>
    <row r="307" spans="8:8" x14ac:dyDescent="0.3">
      <c r="H307" s="2"/>
    </row>
    <row r="308" spans="8:8" x14ac:dyDescent="0.3">
      <c r="H308" s="2"/>
    </row>
    <row r="309" spans="8:8" x14ac:dyDescent="0.3">
      <c r="H309" s="2"/>
    </row>
    <row r="310" spans="8:8" x14ac:dyDescent="0.3">
      <c r="H310" s="2"/>
    </row>
    <row r="311" spans="8:8" x14ac:dyDescent="0.3">
      <c r="H311" s="2"/>
    </row>
    <row r="312" spans="8:8" x14ac:dyDescent="0.3">
      <c r="H312" s="2"/>
    </row>
    <row r="313" spans="8:8" x14ac:dyDescent="0.3">
      <c r="H313" s="2"/>
    </row>
    <row r="314" spans="8:8" x14ac:dyDescent="0.3">
      <c r="H314" s="2"/>
    </row>
    <row r="315" spans="8:8" x14ac:dyDescent="0.3">
      <c r="H315" s="2"/>
    </row>
    <row r="316" spans="8:8" x14ac:dyDescent="0.3">
      <c r="H316" s="2"/>
    </row>
    <row r="317" spans="8:8" x14ac:dyDescent="0.3">
      <c r="H317" s="2"/>
    </row>
    <row r="318" spans="8:8" x14ac:dyDescent="0.3">
      <c r="H318" s="2"/>
    </row>
    <row r="319" spans="8:8" x14ac:dyDescent="0.3">
      <c r="H319" s="2"/>
    </row>
    <row r="320" spans="8:8" x14ac:dyDescent="0.3">
      <c r="H320" s="2"/>
    </row>
    <row r="321" spans="8:8" x14ac:dyDescent="0.3">
      <c r="H321" s="2"/>
    </row>
    <row r="322" spans="8:8" x14ac:dyDescent="0.3">
      <c r="H322" s="2"/>
    </row>
    <row r="323" spans="8:8" x14ac:dyDescent="0.3">
      <c r="H323" s="2"/>
    </row>
    <row r="324" spans="8:8" x14ac:dyDescent="0.3">
      <c r="H324" s="2"/>
    </row>
    <row r="325" spans="8:8" x14ac:dyDescent="0.3">
      <c r="H325" s="2"/>
    </row>
    <row r="326" spans="8:8" x14ac:dyDescent="0.3">
      <c r="H326" s="2"/>
    </row>
    <row r="327" spans="8:8" x14ac:dyDescent="0.3">
      <c r="H327" s="2"/>
    </row>
    <row r="328" spans="8:8" x14ac:dyDescent="0.3">
      <c r="H328" s="2"/>
    </row>
    <row r="329" spans="8:8" x14ac:dyDescent="0.3">
      <c r="H329" s="2"/>
    </row>
    <row r="330" spans="8:8" x14ac:dyDescent="0.3">
      <c r="H330" s="2"/>
    </row>
    <row r="331" spans="8:8" x14ac:dyDescent="0.3">
      <c r="H331" s="2"/>
    </row>
    <row r="332" spans="8:8" x14ac:dyDescent="0.3">
      <c r="H332" s="2"/>
    </row>
    <row r="333" spans="8:8" x14ac:dyDescent="0.3">
      <c r="H333" s="2"/>
    </row>
    <row r="334" spans="8:8" x14ac:dyDescent="0.3">
      <c r="H334" s="2"/>
    </row>
    <row r="335" spans="8:8" x14ac:dyDescent="0.3">
      <c r="H335" s="2"/>
    </row>
    <row r="336" spans="8:8" x14ac:dyDescent="0.3">
      <c r="H336" s="2"/>
    </row>
    <row r="337" spans="8:8" x14ac:dyDescent="0.3">
      <c r="H337" s="2"/>
    </row>
    <row r="338" spans="8:8" x14ac:dyDescent="0.3">
      <c r="H338" s="2"/>
    </row>
    <row r="339" spans="8:8" x14ac:dyDescent="0.3">
      <c r="H339" s="2"/>
    </row>
    <row r="340" spans="8:8" x14ac:dyDescent="0.3">
      <c r="H340" s="2"/>
    </row>
    <row r="341" spans="8:8" x14ac:dyDescent="0.3">
      <c r="H341" s="2"/>
    </row>
    <row r="342" spans="8:8" x14ac:dyDescent="0.3">
      <c r="H342" s="2"/>
    </row>
    <row r="343" spans="8:8" x14ac:dyDescent="0.3">
      <c r="H343" s="2"/>
    </row>
    <row r="344" spans="8:8" x14ac:dyDescent="0.3">
      <c r="H344" s="2"/>
    </row>
    <row r="345" spans="8:8" x14ac:dyDescent="0.3">
      <c r="H345" s="2"/>
    </row>
    <row r="346" spans="8:8" x14ac:dyDescent="0.3">
      <c r="H346" s="2"/>
    </row>
    <row r="347" spans="8:8" x14ac:dyDescent="0.3">
      <c r="H347" s="2"/>
    </row>
    <row r="348" spans="8:8" x14ac:dyDescent="0.3">
      <c r="H348" s="2"/>
    </row>
    <row r="349" spans="8:8" x14ac:dyDescent="0.3">
      <c r="H349" s="2"/>
    </row>
    <row r="350" spans="8:8" x14ac:dyDescent="0.3">
      <c r="H350" s="2"/>
    </row>
    <row r="351" spans="8:8" x14ac:dyDescent="0.3">
      <c r="H351" s="2"/>
    </row>
    <row r="352" spans="8:8" x14ac:dyDescent="0.3">
      <c r="H352" s="2"/>
    </row>
    <row r="353" spans="8:8" x14ac:dyDescent="0.3">
      <c r="H353" s="2"/>
    </row>
    <row r="354" spans="8:8" x14ac:dyDescent="0.3">
      <c r="H354" s="2"/>
    </row>
    <row r="355" spans="8:8" x14ac:dyDescent="0.3">
      <c r="H355" s="2"/>
    </row>
    <row r="356" spans="8:8" x14ac:dyDescent="0.3">
      <c r="H356" s="2"/>
    </row>
    <row r="357" spans="8:8" x14ac:dyDescent="0.3">
      <c r="H357" s="2"/>
    </row>
    <row r="358" spans="8:8" x14ac:dyDescent="0.3">
      <c r="H358" s="2"/>
    </row>
    <row r="359" spans="8:8" x14ac:dyDescent="0.3">
      <c r="H359" s="2"/>
    </row>
    <row r="360" spans="8:8" x14ac:dyDescent="0.3">
      <c r="H360" s="2"/>
    </row>
    <row r="361" spans="8:8" x14ac:dyDescent="0.3">
      <c r="H361" s="2"/>
    </row>
    <row r="362" spans="8:8" x14ac:dyDescent="0.3">
      <c r="H362" s="2"/>
    </row>
    <row r="363" spans="8:8" x14ac:dyDescent="0.3">
      <c r="H363" s="2"/>
    </row>
    <row r="364" spans="8:8" x14ac:dyDescent="0.3">
      <c r="H364" s="2"/>
    </row>
    <row r="365" spans="8:8" x14ac:dyDescent="0.3">
      <c r="H365" s="2"/>
    </row>
    <row r="366" spans="8:8" x14ac:dyDescent="0.3">
      <c r="H366" s="2"/>
    </row>
    <row r="367" spans="8:8" x14ac:dyDescent="0.3">
      <c r="H367" s="2"/>
    </row>
    <row r="368" spans="8:8" x14ac:dyDescent="0.3">
      <c r="H368" s="2"/>
    </row>
    <row r="369" spans="8:8" x14ac:dyDescent="0.3">
      <c r="H369" s="2"/>
    </row>
    <row r="370" spans="8:8" x14ac:dyDescent="0.3">
      <c r="H370" s="2"/>
    </row>
    <row r="371" spans="8:8" x14ac:dyDescent="0.3">
      <c r="H371" s="2"/>
    </row>
    <row r="372" spans="8:8" x14ac:dyDescent="0.3">
      <c r="H372" s="2"/>
    </row>
    <row r="373" spans="8:8" x14ac:dyDescent="0.3">
      <c r="H373" s="2"/>
    </row>
    <row r="374" spans="8:8" x14ac:dyDescent="0.3">
      <c r="H374" s="2"/>
    </row>
    <row r="375" spans="8:8" x14ac:dyDescent="0.3">
      <c r="H375" s="2"/>
    </row>
    <row r="376" spans="8:8" x14ac:dyDescent="0.3">
      <c r="H376" s="2"/>
    </row>
    <row r="377" spans="8:8" x14ac:dyDescent="0.3">
      <c r="H377" s="2"/>
    </row>
    <row r="378" spans="8:8" x14ac:dyDescent="0.3">
      <c r="H378" s="2"/>
    </row>
    <row r="379" spans="8:8" x14ac:dyDescent="0.3">
      <c r="H379" s="2"/>
    </row>
    <row r="380" spans="8:8" x14ac:dyDescent="0.3">
      <c r="H380" s="2"/>
    </row>
    <row r="381" spans="8:8" x14ac:dyDescent="0.3">
      <c r="H381" s="2"/>
    </row>
    <row r="382" spans="8:8" x14ac:dyDescent="0.3">
      <c r="H382" s="2"/>
    </row>
    <row r="383" spans="8:8" x14ac:dyDescent="0.3">
      <c r="H383" s="2"/>
    </row>
    <row r="384" spans="8:8" x14ac:dyDescent="0.3">
      <c r="H384" s="2"/>
    </row>
    <row r="385" spans="8:8" x14ac:dyDescent="0.3">
      <c r="H385" s="2"/>
    </row>
    <row r="386" spans="8:8" x14ac:dyDescent="0.3">
      <c r="H386" s="2"/>
    </row>
    <row r="387" spans="8:8" x14ac:dyDescent="0.3">
      <c r="H387" s="2"/>
    </row>
    <row r="388" spans="8:8" x14ac:dyDescent="0.3">
      <c r="H388" s="2"/>
    </row>
    <row r="389" spans="8:8" x14ac:dyDescent="0.3">
      <c r="H389" s="2"/>
    </row>
    <row r="390" spans="8:8" x14ac:dyDescent="0.3">
      <c r="H390" s="2"/>
    </row>
    <row r="391" spans="8:8" x14ac:dyDescent="0.3">
      <c r="H391" s="2"/>
    </row>
    <row r="392" spans="8:8" x14ac:dyDescent="0.3">
      <c r="H392" s="2"/>
    </row>
    <row r="393" spans="8:8" x14ac:dyDescent="0.3">
      <c r="H393" s="2"/>
    </row>
    <row r="394" spans="8:8" x14ac:dyDescent="0.3">
      <c r="H394" s="2"/>
    </row>
    <row r="395" spans="8:8" x14ac:dyDescent="0.3">
      <c r="H395" s="2"/>
    </row>
    <row r="396" spans="8:8" x14ac:dyDescent="0.3">
      <c r="H396" s="2"/>
    </row>
    <row r="397" spans="8:8" x14ac:dyDescent="0.3">
      <c r="H397" s="2"/>
    </row>
    <row r="398" spans="8:8" x14ac:dyDescent="0.3">
      <c r="H398" s="2"/>
    </row>
    <row r="399" spans="8:8" x14ac:dyDescent="0.3">
      <c r="H399" s="2"/>
    </row>
    <row r="400" spans="8:8" x14ac:dyDescent="0.3">
      <c r="H400" s="2"/>
    </row>
    <row r="401" spans="8:8" x14ac:dyDescent="0.3">
      <c r="H401" s="2"/>
    </row>
    <row r="402" spans="8:8" x14ac:dyDescent="0.3">
      <c r="H402" s="2"/>
    </row>
    <row r="403" spans="8:8" x14ac:dyDescent="0.3">
      <c r="H403" s="2"/>
    </row>
    <row r="404" spans="8:8" x14ac:dyDescent="0.3">
      <c r="H404" s="2"/>
    </row>
    <row r="405" spans="8:8" x14ac:dyDescent="0.3">
      <c r="H405" s="2"/>
    </row>
    <row r="406" spans="8:8" x14ac:dyDescent="0.3">
      <c r="H406" s="2"/>
    </row>
    <row r="407" spans="8:8" x14ac:dyDescent="0.3">
      <c r="H407" s="2"/>
    </row>
    <row r="408" spans="8:8" x14ac:dyDescent="0.3">
      <c r="H408" s="2"/>
    </row>
    <row r="409" spans="8:8" x14ac:dyDescent="0.3">
      <c r="H409" s="2"/>
    </row>
    <row r="410" spans="8:8" x14ac:dyDescent="0.3">
      <c r="H410" s="2"/>
    </row>
    <row r="411" spans="8:8" x14ac:dyDescent="0.3">
      <c r="H411" s="2"/>
    </row>
    <row r="412" spans="8:8" x14ac:dyDescent="0.3">
      <c r="H412" s="2"/>
    </row>
    <row r="413" spans="8:8" x14ac:dyDescent="0.3">
      <c r="H413" s="2"/>
    </row>
    <row r="414" spans="8:8" x14ac:dyDescent="0.3">
      <c r="H414" s="2"/>
    </row>
    <row r="415" spans="8:8" x14ac:dyDescent="0.3">
      <c r="H415" s="2"/>
    </row>
    <row r="416" spans="8:8" x14ac:dyDescent="0.3">
      <c r="H416" s="2"/>
    </row>
    <row r="417" spans="8:8" x14ac:dyDescent="0.3">
      <c r="H417" s="2"/>
    </row>
    <row r="418" spans="8:8" x14ac:dyDescent="0.3">
      <c r="H418" s="2"/>
    </row>
    <row r="419" spans="8:8" x14ac:dyDescent="0.3">
      <c r="H419" s="2"/>
    </row>
    <row r="420" spans="8:8" x14ac:dyDescent="0.3">
      <c r="H420" s="2"/>
    </row>
    <row r="421" spans="8:8" x14ac:dyDescent="0.3">
      <c r="H421" s="2"/>
    </row>
    <row r="422" spans="8:8" x14ac:dyDescent="0.3">
      <c r="H422" s="2"/>
    </row>
    <row r="423" spans="8:8" x14ac:dyDescent="0.3">
      <c r="H423" s="2"/>
    </row>
    <row r="424" spans="8:8" x14ac:dyDescent="0.3">
      <c r="H424" s="2"/>
    </row>
    <row r="425" spans="8:8" x14ac:dyDescent="0.3">
      <c r="H425" s="2"/>
    </row>
    <row r="426" spans="8:8" x14ac:dyDescent="0.3">
      <c r="H426" s="2"/>
    </row>
    <row r="427" spans="8:8" x14ac:dyDescent="0.3">
      <c r="H427" s="2"/>
    </row>
    <row r="428" spans="8:8" x14ac:dyDescent="0.3">
      <c r="H428" s="2"/>
    </row>
    <row r="429" spans="8:8" x14ac:dyDescent="0.3">
      <c r="H429" s="2"/>
    </row>
    <row r="430" spans="8:8" x14ac:dyDescent="0.3">
      <c r="H430" s="2"/>
    </row>
    <row r="431" spans="8:8" x14ac:dyDescent="0.3">
      <c r="H431" s="2"/>
    </row>
    <row r="432" spans="8:8" x14ac:dyDescent="0.3">
      <c r="H432" s="2"/>
    </row>
    <row r="433" spans="8:8" x14ac:dyDescent="0.3">
      <c r="H433" s="2"/>
    </row>
    <row r="434" spans="8:8" x14ac:dyDescent="0.3">
      <c r="H434" s="2"/>
    </row>
    <row r="435" spans="8:8" x14ac:dyDescent="0.3">
      <c r="H435" s="2"/>
    </row>
    <row r="436" spans="8:8" x14ac:dyDescent="0.3">
      <c r="H436" s="2"/>
    </row>
    <row r="437" spans="8:8" x14ac:dyDescent="0.3">
      <c r="H437" s="2"/>
    </row>
    <row r="438" spans="8:8" x14ac:dyDescent="0.3">
      <c r="H438" s="2"/>
    </row>
    <row r="439" spans="8:8" x14ac:dyDescent="0.3">
      <c r="H439" s="2"/>
    </row>
    <row r="440" spans="8:8" x14ac:dyDescent="0.3">
      <c r="H440" s="2"/>
    </row>
    <row r="441" spans="8:8" x14ac:dyDescent="0.3">
      <c r="H441" s="2"/>
    </row>
    <row r="442" spans="8:8" x14ac:dyDescent="0.3">
      <c r="H442" s="2"/>
    </row>
    <row r="443" spans="8:8" x14ac:dyDescent="0.3">
      <c r="H443" s="2"/>
    </row>
    <row r="444" spans="8:8" x14ac:dyDescent="0.3">
      <c r="H444" s="2"/>
    </row>
    <row r="445" spans="8:8" x14ac:dyDescent="0.3">
      <c r="H445" s="2"/>
    </row>
    <row r="446" spans="8:8" x14ac:dyDescent="0.3">
      <c r="H446" s="2"/>
    </row>
    <row r="447" spans="8:8" x14ac:dyDescent="0.3">
      <c r="H447" s="2"/>
    </row>
    <row r="448" spans="8:8" x14ac:dyDescent="0.3">
      <c r="H448" s="2"/>
    </row>
    <row r="449" spans="8:8" x14ac:dyDescent="0.3">
      <c r="H449" s="2"/>
    </row>
    <row r="450" spans="8:8" x14ac:dyDescent="0.3">
      <c r="H450" s="2"/>
    </row>
    <row r="451" spans="8:8" x14ac:dyDescent="0.3">
      <c r="H451" s="2"/>
    </row>
    <row r="452" spans="8:8" x14ac:dyDescent="0.3">
      <c r="H452" s="2"/>
    </row>
    <row r="453" spans="8:8" x14ac:dyDescent="0.3">
      <c r="H453" s="2"/>
    </row>
    <row r="454" spans="8:8" x14ac:dyDescent="0.3">
      <c r="H454" s="2"/>
    </row>
    <row r="455" spans="8:8" x14ac:dyDescent="0.3">
      <c r="H455" s="2"/>
    </row>
    <row r="456" spans="8:8" x14ac:dyDescent="0.3">
      <c r="H456" s="2"/>
    </row>
    <row r="457" spans="8:8" x14ac:dyDescent="0.3">
      <c r="H457" s="2"/>
    </row>
    <row r="458" spans="8:8" x14ac:dyDescent="0.3">
      <c r="H458" s="2"/>
    </row>
    <row r="459" spans="8:8" x14ac:dyDescent="0.3">
      <c r="H459" s="2"/>
    </row>
    <row r="460" spans="8:8" x14ac:dyDescent="0.3">
      <c r="H460" s="2"/>
    </row>
    <row r="461" spans="8:8" x14ac:dyDescent="0.3">
      <c r="H461" s="2"/>
    </row>
    <row r="462" spans="8:8" x14ac:dyDescent="0.3">
      <c r="H462" s="2"/>
    </row>
    <row r="463" spans="8:8" x14ac:dyDescent="0.3">
      <c r="H463" s="2"/>
    </row>
    <row r="464" spans="8:8" x14ac:dyDescent="0.3">
      <c r="H464" s="2"/>
    </row>
    <row r="465" spans="8:8" x14ac:dyDescent="0.3">
      <c r="H465" s="2"/>
    </row>
    <row r="466" spans="8:8" x14ac:dyDescent="0.3">
      <c r="H466" s="2"/>
    </row>
    <row r="467" spans="8:8" x14ac:dyDescent="0.3">
      <c r="H467" s="2"/>
    </row>
    <row r="468" spans="8:8" x14ac:dyDescent="0.3">
      <c r="H468" s="2"/>
    </row>
    <row r="469" spans="8:8" x14ac:dyDescent="0.3">
      <c r="H469" s="2"/>
    </row>
    <row r="470" spans="8:8" x14ac:dyDescent="0.3">
      <c r="H470" s="2"/>
    </row>
    <row r="471" spans="8:8" x14ac:dyDescent="0.3">
      <c r="H471" s="2"/>
    </row>
    <row r="472" spans="8:8" x14ac:dyDescent="0.3">
      <c r="H472" s="2"/>
    </row>
    <row r="473" spans="8:8" x14ac:dyDescent="0.3">
      <c r="H473" s="2"/>
    </row>
    <row r="474" spans="8:8" x14ac:dyDescent="0.3">
      <c r="H474" s="2"/>
    </row>
    <row r="475" spans="8:8" x14ac:dyDescent="0.3">
      <c r="H475" s="2"/>
    </row>
    <row r="476" spans="8:8" x14ac:dyDescent="0.3">
      <c r="H476" s="2"/>
    </row>
    <row r="477" spans="8:8" x14ac:dyDescent="0.3">
      <c r="H477" s="2"/>
    </row>
    <row r="478" spans="8:8" x14ac:dyDescent="0.3">
      <c r="H478" s="2"/>
    </row>
    <row r="479" spans="8:8" x14ac:dyDescent="0.3">
      <c r="H479" s="2"/>
    </row>
    <row r="480" spans="8:8" x14ac:dyDescent="0.3">
      <c r="H480" s="2"/>
    </row>
    <row r="481" spans="8:8" x14ac:dyDescent="0.3">
      <c r="H481" s="2"/>
    </row>
    <row r="482" spans="8:8" x14ac:dyDescent="0.3">
      <c r="H482" s="2"/>
    </row>
    <row r="483" spans="8:8" x14ac:dyDescent="0.3">
      <c r="H483" s="2"/>
    </row>
    <row r="484" spans="8:8" x14ac:dyDescent="0.3">
      <c r="H484" s="2"/>
    </row>
    <row r="485" spans="8:8" x14ac:dyDescent="0.3">
      <c r="H485" s="2"/>
    </row>
    <row r="486" spans="8:8" x14ac:dyDescent="0.3">
      <c r="H486" s="2"/>
    </row>
    <row r="487" spans="8:8" x14ac:dyDescent="0.3">
      <c r="H487" s="2"/>
    </row>
    <row r="488" spans="8:8" x14ac:dyDescent="0.3">
      <c r="H488" s="2"/>
    </row>
    <row r="489" spans="8:8" x14ac:dyDescent="0.3">
      <c r="H489" s="2"/>
    </row>
    <row r="490" spans="8:8" x14ac:dyDescent="0.3">
      <c r="H490" s="2"/>
    </row>
    <row r="491" spans="8:8" x14ac:dyDescent="0.3">
      <c r="H491" s="2"/>
    </row>
    <row r="492" spans="8:8" x14ac:dyDescent="0.3">
      <c r="H492" s="2"/>
    </row>
    <row r="493" spans="8:8" x14ac:dyDescent="0.3">
      <c r="H493" s="2"/>
    </row>
    <row r="494" spans="8:8" x14ac:dyDescent="0.3">
      <c r="H494" s="2"/>
    </row>
    <row r="495" spans="8:8" x14ac:dyDescent="0.3">
      <c r="H495" s="2"/>
    </row>
    <row r="496" spans="8:8" x14ac:dyDescent="0.3">
      <c r="H496" s="2"/>
    </row>
    <row r="497" spans="8:8" x14ac:dyDescent="0.3">
      <c r="H497" s="2"/>
    </row>
    <row r="498" spans="8:8" x14ac:dyDescent="0.3">
      <c r="H498" s="2"/>
    </row>
    <row r="499" spans="8:8" x14ac:dyDescent="0.3">
      <c r="H499" s="2"/>
    </row>
    <row r="500" spans="8:8" x14ac:dyDescent="0.3">
      <c r="H500" s="2"/>
    </row>
  </sheetData>
  <dataValidations count="2">
    <dataValidation type="list" sqref="H2:H500">
      <formula1>"Lead,Qualified,Discovery,Demo,POC,Commercial Proposal,Negotiation,Closed Won,Closed Lost"</formula1>
      <formula2>0</formula2>
    </dataValidation>
    <dataValidation type="list" sqref="O12:O500">
      <formula1>"Active,On Hold,Won,Lost"</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30"/>
  <sheetViews>
    <sheetView showGridLines="0" zoomScale="39" zoomScaleNormal="55" zoomScaleSheetLayoutView="10" zoomScalePageLayoutView="10" workbookViewId="0">
      <selection activeCell="A3" sqref="A3:AK3"/>
    </sheetView>
  </sheetViews>
  <sheetFormatPr defaultColWidth="8.6640625" defaultRowHeight="14.4" x14ac:dyDescent="0.3"/>
  <cols>
    <col min="1" max="36" width="4" customWidth="1"/>
    <col min="37" max="37" width="206.109375" customWidth="1"/>
    <col min="38" max="39" width="4" customWidth="1"/>
  </cols>
  <sheetData>
    <row r="1" spans="1:39" ht="21.75" customHeight="1" x14ac:dyDescent="0.3">
      <c r="A1" s="28" t="s">
        <v>0</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1"/>
      <c r="AM1" s="1"/>
    </row>
    <row r="2" spans="1:39" ht="21.75" customHeight="1" x14ac:dyDescent="0.3">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1"/>
      <c r="AM2" s="1"/>
    </row>
    <row r="3" spans="1:39" ht="67.2" customHeight="1" x14ac:dyDescent="0.3">
      <c r="A3" s="27" t="s">
        <v>1</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3"/>
      <c r="AM3" s="3"/>
    </row>
    <row r="4" spans="1:39"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5" spans="1:39"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row>
    <row r="6" spans="1:39"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row>
    <row r="7" spans="1:39"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row>
    <row r="13" spans="1:39"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row>
    <row r="14" spans="1:39" ht="149.4"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row>
    <row r="15" spans="1:39"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row>
    <row r="16" spans="1:39"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r="17" spans="1:39"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row>
    <row r="18" spans="1:39"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spans="1:39" ht="61.2"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row>
    <row r="20" spans="1:39"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row>
    <row r="21" spans="1:39"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row>
    <row r="22" spans="1:39"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row>
    <row r="23" spans="1:39"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row>
    <row r="24" spans="1:39"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row>
    <row r="25" spans="1:39"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spans="1:39" ht="67.2" customHeight="1" x14ac:dyDescent="0.3">
      <c r="A27" s="27" t="s">
        <v>2</v>
      </c>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3"/>
      <c r="AM27" s="3"/>
    </row>
    <row r="28" spans="1:39"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r="29" spans="1:39"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row>
    <row r="30" spans="1:39"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row>
    <row r="31" spans="1:39"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row>
    <row r="32" spans="1:39"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r="33" spans="1:39"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r="34" spans="1:39" ht="101.4"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spans="1:39"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r="36" spans="1:39"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spans="1:39" ht="112.8"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spans="1:39" ht="112.8"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spans="1:39" ht="112.8" hidden="1"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spans="1:39" hidden="1"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spans="1:39"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spans="1:39"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spans="1:39"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spans="1:39"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spans="1:39"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spans="1:39"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spans="1:39"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spans="1:39"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spans="1:39" ht="67.2" customHeight="1" x14ac:dyDescent="0.3">
      <c r="A49" s="27" t="s">
        <v>3</v>
      </c>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3"/>
      <c r="AM49" s="3"/>
    </row>
    <row r="50" spans="1:39"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spans="1:39"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spans="1:39"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spans="1:39"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spans="1:39"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spans="1:39"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spans="1:39"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spans="1:39"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spans="1:39"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spans="1:39"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spans="1:39"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spans="1:39"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spans="1:39"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spans="1:39"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spans="1:39"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spans="1:39"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spans="1:39"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spans="1:39"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spans="1:39"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spans="1:39"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spans="1:39"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spans="1:39"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spans="1:39"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spans="1:39"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spans="1:39"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spans="1:39"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spans="1:39"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spans="1:39"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spans="1:39"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spans="1:39"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spans="1:39"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spans="1:39"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spans="1:39"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spans="1:39" ht="67.2" customHeight="1" x14ac:dyDescent="0.3">
      <c r="A83" s="27" t="s">
        <v>4</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3"/>
      <c r="AM83" s="3"/>
    </row>
    <row r="84" spans="1:39"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spans="1:39"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spans="1:39"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spans="1:39"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spans="1:39"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spans="1:39"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spans="1:39"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spans="1:39"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spans="1:39"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spans="1:39"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spans="1:39"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spans="1:39"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spans="1:39"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spans="1:39"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spans="1:39"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spans="1:39"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spans="1:39"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spans="1:39"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spans="1:39"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spans="1:39"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spans="1:39"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spans="1:39"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spans="1:39"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spans="1:39"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spans="1:39"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spans="1:39"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spans="1:39"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spans="1:39"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spans="1:39"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spans="1:39" ht="67.2" customHeight="1" x14ac:dyDescent="0.3">
      <c r="A113" s="27" t="s">
        <v>5</v>
      </c>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3"/>
      <c r="AM113" s="3"/>
    </row>
    <row r="114" spans="1:39"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spans="1:39"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spans="1:39"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spans="1:39"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spans="1:39"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spans="1:39"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spans="1:39"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spans="1:39"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spans="1:39"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spans="1:39"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spans="1:39"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spans="1:39"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spans="1:39"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spans="1:39"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spans="1:39"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spans="1:39"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spans="1:39" ht="118.0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sheetData>
  <mergeCells count="6">
    <mergeCell ref="A113:AK113"/>
    <mergeCell ref="A1:AK2"/>
    <mergeCell ref="A3:AK3"/>
    <mergeCell ref="A27:AK27"/>
    <mergeCell ref="A49:AK49"/>
    <mergeCell ref="A83:AK83"/>
  </mergeCells>
  <pageMargins left="0.75" right="0.75" top="1" bottom="1" header="0.511811023622047" footer="0.511811023622047"/>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zoomScaleNormal="100" workbookViewId="0">
      <selection activeCell="I17" sqref="I17"/>
    </sheetView>
  </sheetViews>
  <sheetFormatPr defaultRowHeight="14.4" x14ac:dyDescent="0.3"/>
  <cols>
    <col min="1" max="1" width="19.5546875" customWidth="1"/>
    <col min="2" max="2" width="15.5546875" customWidth="1"/>
    <col min="3" max="4" width="8" customWidth="1"/>
    <col min="5" max="5" width="10.77734375" customWidth="1"/>
    <col min="6" max="6" width="8" customWidth="1"/>
    <col min="7" max="7" width="8.33203125" customWidth="1"/>
    <col min="8" max="8" width="10.77734375" customWidth="1"/>
    <col min="9" max="9" width="10.109375" customWidth="1"/>
    <col min="10" max="10" width="15" customWidth="1"/>
    <col min="11" max="11" width="12" customWidth="1"/>
    <col min="12" max="12" width="12.21875" customWidth="1"/>
    <col min="13" max="13" width="8.44140625" customWidth="1"/>
    <col min="14" max="14" width="11.44140625" customWidth="1"/>
    <col min="15" max="15" width="8.88671875" customWidth="1"/>
    <col min="16" max="16" width="12" customWidth="1"/>
    <col min="17" max="17" width="10.21875" customWidth="1"/>
    <col min="18" max="18" width="10.88671875" customWidth="1"/>
    <col min="19" max="19" width="11.5546875" customWidth="1"/>
    <col min="20" max="20" width="10.88671875" customWidth="1"/>
    <col min="21" max="21" width="11.33203125" customWidth="1"/>
    <col min="22" max="22" width="10.77734375" customWidth="1"/>
    <col min="23" max="23" width="21.109375" customWidth="1"/>
    <col min="24" max="24" width="20.6640625" customWidth="1"/>
    <col min="25" max="25" width="23.6640625" customWidth="1"/>
    <col min="26" max="26" width="19.33203125" customWidth="1"/>
    <col min="27" max="27" width="22.33203125" customWidth="1"/>
    <col min="28" max="28" width="17.44140625" bestFit="1" customWidth="1"/>
    <col min="29" max="29" width="20.44140625" bestFit="1" customWidth="1"/>
    <col min="30" max="30" width="19.33203125" bestFit="1" customWidth="1"/>
    <col min="31" max="31" width="22.33203125" bestFit="1" customWidth="1"/>
    <col min="32" max="32" width="20.44140625" bestFit="1" customWidth="1"/>
    <col min="33" max="33" width="23.44140625" bestFit="1" customWidth="1"/>
    <col min="34" max="34" width="24.44140625" bestFit="1" customWidth="1"/>
    <col min="35" max="35" width="27.44140625" bestFit="1" customWidth="1"/>
    <col min="36" max="36" width="20.77734375" bestFit="1" customWidth="1"/>
    <col min="37" max="37" width="23.77734375" bestFit="1" customWidth="1"/>
    <col min="38" max="38" width="23.109375" bestFit="1" customWidth="1"/>
    <col min="39" max="39" width="26.109375" bestFit="1" customWidth="1"/>
    <col min="40" max="40" width="19.44140625" bestFit="1" customWidth="1"/>
    <col min="41" max="41" width="22.44140625" bestFit="1" customWidth="1"/>
    <col min="42" max="42" width="10.77734375" bestFit="1" customWidth="1"/>
  </cols>
  <sheetData>
    <row r="1" spans="1:11" x14ac:dyDescent="0.3">
      <c r="A1" s="22" t="s">
        <v>187</v>
      </c>
      <c r="B1" s="22"/>
      <c r="D1" s="26"/>
      <c r="E1" s="26"/>
      <c r="F1" s="26"/>
      <c r="G1" s="26"/>
      <c r="H1" s="26"/>
      <c r="J1" s="22" t="s">
        <v>188</v>
      </c>
      <c r="K1" s="22"/>
    </row>
    <row r="2" spans="1:11" x14ac:dyDescent="0.3">
      <c r="A2" s="8" t="s">
        <v>9</v>
      </c>
      <c r="B2" s="9" t="s">
        <v>12</v>
      </c>
      <c r="D2" s="8" t="s">
        <v>185</v>
      </c>
      <c r="E2" s="8" t="s">
        <v>186</v>
      </c>
      <c r="F2" s="9"/>
      <c r="G2" s="9"/>
      <c r="H2" s="9"/>
      <c r="J2" s="17" t="s">
        <v>17</v>
      </c>
      <c r="K2" s="18" t="s">
        <v>14</v>
      </c>
    </row>
    <row r="3" spans="1:11" x14ac:dyDescent="0.3">
      <c r="A3" s="9" t="s">
        <v>24</v>
      </c>
      <c r="B3" s="10">
        <v>310000</v>
      </c>
      <c r="D3" s="8" t="s">
        <v>183</v>
      </c>
      <c r="E3" s="9" t="s">
        <v>117</v>
      </c>
      <c r="F3" s="9" t="s">
        <v>131</v>
      </c>
      <c r="G3" s="9" t="s">
        <v>124</v>
      </c>
      <c r="H3" s="9" t="s">
        <v>184</v>
      </c>
      <c r="J3" s="19" t="s">
        <v>54</v>
      </c>
      <c r="K3" s="15">
        <v>95</v>
      </c>
    </row>
    <row r="4" spans="1:11" x14ac:dyDescent="0.3">
      <c r="A4" s="9" t="s">
        <v>58</v>
      </c>
      <c r="B4" s="10">
        <v>390000</v>
      </c>
      <c r="D4" s="9" t="s">
        <v>129</v>
      </c>
      <c r="E4" s="10"/>
      <c r="F4" s="10">
        <v>2900000</v>
      </c>
      <c r="G4" s="10"/>
      <c r="H4" s="10">
        <v>2900000</v>
      </c>
      <c r="J4" s="19" t="s">
        <v>37</v>
      </c>
      <c r="K4" s="15">
        <v>70</v>
      </c>
    </row>
    <row r="5" spans="1:11" x14ac:dyDescent="0.3">
      <c r="A5" s="9" t="s">
        <v>184</v>
      </c>
      <c r="B5" s="10">
        <v>700000</v>
      </c>
      <c r="D5" s="9" t="s">
        <v>118</v>
      </c>
      <c r="E5" s="10">
        <v>7200000</v>
      </c>
      <c r="F5" s="10"/>
      <c r="G5" s="10"/>
      <c r="H5" s="10">
        <v>7200000</v>
      </c>
      <c r="J5" s="18" t="s">
        <v>184</v>
      </c>
      <c r="K5" s="16">
        <v>165</v>
      </c>
    </row>
    <row r="6" spans="1:11" x14ac:dyDescent="0.3">
      <c r="D6" s="9" t="s">
        <v>152</v>
      </c>
      <c r="E6" s="10">
        <v>9100000</v>
      </c>
      <c r="F6" s="10"/>
      <c r="G6" s="10"/>
      <c r="H6" s="10">
        <v>9100000</v>
      </c>
    </row>
    <row r="7" spans="1:11" x14ac:dyDescent="0.3">
      <c r="D7" s="9" t="s">
        <v>134</v>
      </c>
      <c r="E7" s="10">
        <v>6200000</v>
      </c>
      <c r="F7" s="10"/>
      <c r="G7" s="10"/>
      <c r="H7" s="10">
        <v>6200000</v>
      </c>
    </row>
    <row r="8" spans="1:11" x14ac:dyDescent="0.3">
      <c r="D8" s="9" t="s">
        <v>138</v>
      </c>
      <c r="E8" s="10">
        <v>6800000</v>
      </c>
      <c r="F8" s="10"/>
      <c r="G8" s="10"/>
      <c r="H8" s="10">
        <v>6800000</v>
      </c>
    </row>
    <row r="9" spans="1:11" x14ac:dyDescent="0.3">
      <c r="A9" s="23" t="s">
        <v>191</v>
      </c>
      <c r="B9" s="24"/>
      <c r="D9" s="9" t="s">
        <v>154</v>
      </c>
      <c r="E9" s="10">
        <v>4700000</v>
      </c>
      <c r="F9" s="10"/>
      <c r="G9" s="10"/>
      <c r="H9" s="10">
        <v>4700000</v>
      </c>
    </row>
    <row r="10" spans="1:11" x14ac:dyDescent="0.3">
      <c r="A10" s="8" t="s">
        <v>10</v>
      </c>
      <c r="B10" s="9" t="s">
        <v>12</v>
      </c>
      <c r="D10" s="9" t="s">
        <v>120</v>
      </c>
      <c r="E10" s="10">
        <v>3800000</v>
      </c>
      <c r="F10" s="10"/>
      <c r="G10" s="10"/>
      <c r="H10" s="10">
        <v>3800000</v>
      </c>
    </row>
    <row r="11" spans="1:11" x14ac:dyDescent="0.3">
      <c r="A11" s="9" t="s">
        <v>79</v>
      </c>
      <c r="B11" s="10">
        <v>390000</v>
      </c>
      <c r="D11" s="9" t="s">
        <v>127</v>
      </c>
      <c r="E11" s="10">
        <v>8500000</v>
      </c>
      <c r="F11" s="10"/>
      <c r="G11" s="10"/>
      <c r="H11" s="10">
        <v>8500000</v>
      </c>
    </row>
    <row r="12" spans="1:11" x14ac:dyDescent="0.3">
      <c r="A12" s="9" t="s">
        <v>52</v>
      </c>
      <c r="B12" s="10">
        <v>310000</v>
      </c>
      <c r="D12" s="9" t="s">
        <v>148</v>
      </c>
      <c r="E12" s="10">
        <v>7900000</v>
      </c>
      <c r="F12" s="10"/>
      <c r="G12" s="10"/>
      <c r="H12" s="10">
        <v>7900000</v>
      </c>
    </row>
    <row r="13" spans="1:11" x14ac:dyDescent="0.3">
      <c r="A13" s="9" t="s">
        <v>184</v>
      </c>
      <c r="B13" s="10">
        <v>700000</v>
      </c>
      <c r="D13" s="9" t="s">
        <v>125</v>
      </c>
      <c r="E13" s="10">
        <v>5500000</v>
      </c>
      <c r="F13" s="10"/>
      <c r="G13" s="10"/>
      <c r="H13" s="10">
        <v>5500000</v>
      </c>
    </row>
    <row r="14" spans="1:11" x14ac:dyDescent="0.3">
      <c r="D14" s="9" t="s">
        <v>142</v>
      </c>
      <c r="E14" s="10">
        <v>4900000</v>
      </c>
      <c r="F14" s="10"/>
      <c r="G14" s="10"/>
      <c r="H14" s="10">
        <v>4900000</v>
      </c>
    </row>
    <row r="15" spans="1:11" x14ac:dyDescent="0.3">
      <c r="D15" s="9" t="s">
        <v>122</v>
      </c>
      <c r="E15" s="10"/>
      <c r="F15" s="10"/>
      <c r="G15" s="10">
        <v>1800000</v>
      </c>
      <c r="H15" s="10">
        <v>1800000</v>
      </c>
    </row>
    <row r="16" spans="1:11" x14ac:dyDescent="0.3">
      <c r="D16" s="9" t="s">
        <v>156</v>
      </c>
      <c r="E16" s="10"/>
      <c r="F16" s="10">
        <v>2800000</v>
      </c>
      <c r="G16" s="10"/>
      <c r="H16" s="10">
        <v>2800000</v>
      </c>
    </row>
    <row r="17" spans="1:8" x14ac:dyDescent="0.3">
      <c r="D17" s="9" t="s">
        <v>144</v>
      </c>
      <c r="E17" s="10">
        <v>7300000</v>
      </c>
      <c r="F17" s="10"/>
      <c r="G17" s="10"/>
      <c r="H17" s="10">
        <v>7300000</v>
      </c>
    </row>
    <row r="18" spans="1:8" x14ac:dyDescent="0.3">
      <c r="D18" s="9" t="s">
        <v>150</v>
      </c>
      <c r="E18" s="10">
        <v>3200000</v>
      </c>
      <c r="F18" s="10"/>
      <c r="G18" s="10"/>
      <c r="H18" s="10">
        <v>3200000</v>
      </c>
    </row>
    <row r="19" spans="1:8" x14ac:dyDescent="0.3">
      <c r="D19" s="9" t="s">
        <v>115</v>
      </c>
      <c r="E19" s="10">
        <v>4500000</v>
      </c>
      <c r="F19" s="10"/>
      <c r="G19" s="10"/>
      <c r="H19" s="10">
        <v>4500000</v>
      </c>
    </row>
    <row r="20" spans="1:8" x14ac:dyDescent="0.3">
      <c r="D20" s="9" t="s">
        <v>132</v>
      </c>
      <c r="E20" s="10">
        <v>3400000</v>
      </c>
      <c r="F20" s="10"/>
      <c r="G20" s="10"/>
      <c r="H20" s="10">
        <v>3400000</v>
      </c>
    </row>
    <row r="21" spans="1:8" x14ac:dyDescent="0.3">
      <c r="D21" s="9" t="s">
        <v>140</v>
      </c>
      <c r="E21" s="10"/>
      <c r="F21" s="10">
        <v>2500000</v>
      </c>
      <c r="G21" s="10"/>
      <c r="H21" s="10">
        <v>2500000</v>
      </c>
    </row>
    <row r="22" spans="1:8" x14ac:dyDescent="0.3">
      <c r="D22" s="9" t="s">
        <v>146</v>
      </c>
      <c r="E22" s="10"/>
      <c r="F22" s="10"/>
      <c r="G22" s="10">
        <v>1600000</v>
      </c>
      <c r="H22" s="10">
        <v>1600000</v>
      </c>
    </row>
    <row r="23" spans="1:8" x14ac:dyDescent="0.3">
      <c r="D23" s="9" t="s">
        <v>136</v>
      </c>
      <c r="E23" s="10"/>
      <c r="F23" s="10"/>
      <c r="G23" s="10">
        <v>2100000</v>
      </c>
      <c r="H23" s="10">
        <v>2100000</v>
      </c>
    </row>
    <row r="24" spans="1:8" x14ac:dyDescent="0.3">
      <c r="D24" s="9" t="s">
        <v>184</v>
      </c>
      <c r="E24" s="10">
        <v>83000000</v>
      </c>
      <c r="F24" s="10">
        <v>8200000</v>
      </c>
      <c r="G24" s="10">
        <v>5500000</v>
      </c>
      <c r="H24" s="10">
        <v>96700000</v>
      </c>
    </row>
    <row r="26" spans="1:8" x14ac:dyDescent="0.3">
      <c r="A26" s="25" t="s">
        <v>190</v>
      </c>
      <c r="B26" s="25"/>
      <c r="C26" s="25"/>
      <c r="D26" s="25"/>
      <c r="E26" s="25"/>
    </row>
    <row r="27" spans="1:8" x14ac:dyDescent="0.3">
      <c r="A27" s="11" t="s">
        <v>189</v>
      </c>
      <c r="B27" s="11" t="s">
        <v>186</v>
      </c>
      <c r="C27" s="12"/>
      <c r="D27" s="12"/>
      <c r="E27" s="12"/>
    </row>
    <row r="28" spans="1:8" x14ac:dyDescent="0.3">
      <c r="A28" s="11" t="s">
        <v>183</v>
      </c>
      <c r="B28" s="12" t="s">
        <v>29</v>
      </c>
      <c r="C28" s="12" t="s">
        <v>39</v>
      </c>
      <c r="D28" s="12" t="s">
        <v>55</v>
      </c>
      <c r="E28" s="12" t="s">
        <v>184</v>
      </c>
    </row>
    <row r="29" spans="1:8" x14ac:dyDescent="0.3">
      <c r="A29" s="13" t="s">
        <v>22</v>
      </c>
      <c r="B29" s="14">
        <v>0.1</v>
      </c>
      <c r="C29" s="14">
        <v>0</v>
      </c>
      <c r="D29" s="14">
        <v>0</v>
      </c>
      <c r="E29" s="14">
        <v>0.1</v>
      </c>
    </row>
    <row r="30" spans="1:8" x14ac:dyDescent="0.3">
      <c r="A30" s="13" t="s">
        <v>32</v>
      </c>
      <c r="B30" s="14">
        <v>0</v>
      </c>
      <c r="C30" s="14">
        <v>0.1</v>
      </c>
      <c r="D30" s="14">
        <v>0</v>
      </c>
      <c r="E30" s="14">
        <v>0.1</v>
      </c>
    </row>
    <row r="31" spans="1:8" x14ac:dyDescent="0.3">
      <c r="A31" s="13" t="s">
        <v>50</v>
      </c>
      <c r="B31" s="14">
        <v>0</v>
      </c>
      <c r="C31" s="14">
        <v>0</v>
      </c>
      <c r="D31" s="14">
        <v>0.1</v>
      </c>
      <c r="E31" s="14">
        <v>0.1</v>
      </c>
    </row>
    <row r="32" spans="1:8" x14ac:dyDescent="0.3">
      <c r="A32" s="13" t="s">
        <v>57</v>
      </c>
      <c r="B32" s="14">
        <v>0</v>
      </c>
      <c r="C32" s="14">
        <v>0.1</v>
      </c>
      <c r="D32" s="14">
        <v>0</v>
      </c>
      <c r="E32" s="14">
        <v>0.1</v>
      </c>
    </row>
    <row r="33" spans="1:5" x14ac:dyDescent="0.3">
      <c r="A33" s="13" t="s">
        <v>66</v>
      </c>
      <c r="B33" s="14">
        <v>0</v>
      </c>
      <c r="C33" s="14">
        <v>0</v>
      </c>
      <c r="D33" s="14">
        <v>0.1</v>
      </c>
      <c r="E33" s="14">
        <v>0.1</v>
      </c>
    </row>
    <row r="34" spans="1:5" x14ac:dyDescent="0.3">
      <c r="A34" s="13" t="s">
        <v>41</v>
      </c>
      <c r="B34" s="14">
        <v>0.1</v>
      </c>
      <c r="C34" s="14">
        <v>0</v>
      </c>
      <c r="D34" s="14">
        <v>0</v>
      </c>
      <c r="E34" s="14">
        <v>0.1</v>
      </c>
    </row>
    <row r="35" spans="1:5" x14ac:dyDescent="0.3">
      <c r="A35" s="13" t="s">
        <v>75</v>
      </c>
      <c r="B35" s="14">
        <v>0.1</v>
      </c>
      <c r="C35" s="14">
        <v>0</v>
      </c>
      <c r="D35" s="14">
        <v>0</v>
      </c>
      <c r="E35" s="14">
        <v>0.1</v>
      </c>
    </row>
    <row r="36" spans="1:5" x14ac:dyDescent="0.3">
      <c r="A36" s="13" t="s">
        <v>78</v>
      </c>
      <c r="B36" s="14">
        <v>0</v>
      </c>
      <c r="C36" s="14">
        <v>0</v>
      </c>
      <c r="D36" s="14">
        <v>0.1</v>
      </c>
      <c r="E36" s="14">
        <v>0.1</v>
      </c>
    </row>
    <row r="37" spans="1:5" x14ac:dyDescent="0.3">
      <c r="A37" s="13" t="s">
        <v>71</v>
      </c>
      <c r="B37" s="14">
        <v>0</v>
      </c>
      <c r="C37" s="14">
        <v>0.1</v>
      </c>
      <c r="D37" s="14">
        <v>0</v>
      </c>
      <c r="E37" s="14">
        <v>0.1</v>
      </c>
    </row>
    <row r="38" spans="1:5" x14ac:dyDescent="0.3">
      <c r="A38" s="13" t="s">
        <v>61</v>
      </c>
      <c r="B38" s="14">
        <v>0.1</v>
      </c>
      <c r="C38" s="14">
        <v>0</v>
      </c>
      <c r="D38" s="14">
        <v>0</v>
      </c>
      <c r="E38" s="14">
        <v>0.1</v>
      </c>
    </row>
    <row r="39" spans="1:5" x14ac:dyDescent="0.3">
      <c r="A39" s="13" t="s">
        <v>184</v>
      </c>
      <c r="B39" s="14">
        <v>0.4</v>
      </c>
      <c r="C39" s="14">
        <v>0.3</v>
      </c>
      <c r="D39" s="14">
        <v>0.3</v>
      </c>
      <c r="E39" s="14">
        <v>1</v>
      </c>
    </row>
  </sheetData>
  <mergeCells count="5">
    <mergeCell ref="A1:B1"/>
    <mergeCell ref="A9:B9"/>
    <mergeCell ref="J1:K1"/>
    <mergeCell ref="A26:E26"/>
    <mergeCell ref="D1:H1"/>
  </mergeCell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zoomScale="95" workbookViewId="0">
      <selection activeCell="R30" sqref="R30"/>
    </sheetView>
  </sheetViews>
  <sheetFormatPr defaultRowHeight="14.4" x14ac:dyDescent="0.3"/>
  <sheetData>
    <row r="1" spans="1:14" x14ac:dyDescent="0.3">
      <c r="A1" s="21"/>
      <c r="B1" s="21"/>
      <c r="C1" s="21"/>
      <c r="D1" s="21"/>
      <c r="E1" s="21"/>
      <c r="F1" s="21"/>
      <c r="G1" s="21"/>
      <c r="H1" s="21"/>
      <c r="I1" s="21"/>
      <c r="J1" s="21"/>
      <c r="K1" s="21"/>
      <c r="L1" s="21"/>
      <c r="M1" s="21"/>
      <c r="N1" s="21"/>
    </row>
    <row r="2" spans="1:14" x14ac:dyDescent="0.3">
      <c r="A2" s="21"/>
      <c r="B2" s="21"/>
      <c r="C2" s="21"/>
      <c r="D2" s="21"/>
      <c r="E2" s="21"/>
      <c r="F2" s="21"/>
      <c r="G2" s="21"/>
      <c r="H2" s="21"/>
      <c r="I2" s="21"/>
      <c r="J2" s="21"/>
      <c r="K2" s="21"/>
      <c r="L2" s="21"/>
      <c r="M2" s="21"/>
      <c r="N2" s="21"/>
    </row>
    <row r="3" spans="1:14" x14ac:dyDescent="0.3">
      <c r="A3" s="21"/>
      <c r="B3" s="21"/>
      <c r="C3" s="21"/>
      <c r="D3" s="21"/>
      <c r="E3" s="21"/>
      <c r="F3" s="21"/>
      <c r="G3" s="21"/>
      <c r="H3" s="21"/>
      <c r="I3" s="21"/>
      <c r="J3" s="21"/>
      <c r="K3" s="21"/>
      <c r="L3" s="21"/>
      <c r="M3" s="21"/>
      <c r="N3" s="21"/>
    </row>
    <row r="4" spans="1:14" x14ac:dyDescent="0.3">
      <c r="A4" s="21"/>
      <c r="B4" s="21"/>
      <c r="C4" s="21"/>
      <c r="D4" s="21"/>
      <c r="E4" s="21"/>
      <c r="F4" s="21"/>
      <c r="G4" s="21"/>
      <c r="H4" s="21"/>
      <c r="I4" s="21"/>
      <c r="J4" s="21"/>
      <c r="K4" s="21"/>
      <c r="L4" s="21"/>
      <c r="M4" s="21"/>
      <c r="N4" s="21"/>
    </row>
    <row r="5" spans="1:14" x14ac:dyDescent="0.3">
      <c r="A5" s="21"/>
      <c r="B5" s="21"/>
      <c r="C5" s="21"/>
      <c r="D5" s="21"/>
      <c r="E5" s="21"/>
      <c r="F5" s="21"/>
      <c r="G5" s="21"/>
      <c r="H5" s="21"/>
      <c r="I5" s="21"/>
      <c r="J5" s="21"/>
      <c r="K5" s="21"/>
      <c r="L5" s="21"/>
      <c r="M5" s="21"/>
      <c r="N5" s="21"/>
    </row>
    <row r="6" spans="1:14" x14ac:dyDescent="0.3">
      <c r="A6" s="21"/>
      <c r="B6" s="21"/>
      <c r="C6" s="21"/>
      <c r="D6" s="21"/>
      <c r="E6" s="21"/>
      <c r="F6" s="21"/>
      <c r="G6" s="21"/>
      <c r="H6" s="21"/>
      <c r="I6" s="21"/>
      <c r="J6" s="21"/>
      <c r="K6" s="21"/>
      <c r="L6" s="21"/>
      <c r="M6" s="21"/>
      <c r="N6" s="21"/>
    </row>
    <row r="7" spans="1:14" x14ac:dyDescent="0.3">
      <c r="A7" s="21"/>
      <c r="B7" s="21"/>
      <c r="C7" s="21"/>
      <c r="D7" s="21"/>
      <c r="E7" s="21"/>
      <c r="F7" s="21"/>
      <c r="G7" s="21"/>
      <c r="H7" s="21"/>
      <c r="I7" s="21"/>
      <c r="J7" s="21"/>
      <c r="K7" s="21"/>
      <c r="L7" s="21"/>
      <c r="M7" s="21"/>
      <c r="N7" s="21"/>
    </row>
    <row r="8" spans="1:14" x14ac:dyDescent="0.3">
      <c r="A8" s="21"/>
      <c r="B8" s="21"/>
      <c r="C8" s="21"/>
      <c r="D8" s="21"/>
      <c r="E8" s="21"/>
      <c r="F8" s="21"/>
      <c r="G8" s="21"/>
      <c r="H8" s="21"/>
      <c r="I8" s="21"/>
      <c r="J8" s="21"/>
      <c r="K8" s="21"/>
      <c r="L8" s="21"/>
      <c r="M8" s="21"/>
      <c r="N8" s="21"/>
    </row>
    <row r="9" spans="1:14" x14ac:dyDescent="0.3">
      <c r="A9" s="21"/>
      <c r="B9" s="21"/>
      <c r="C9" s="21"/>
      <c r="D9" s="21"/>
      <c r="E9" s="21"/>
      <c r="F9" s="21"/>
      <c r="G9" s="21"/>
      <c r="H9" s="21"/>
      <c r="I9" s="21"/>
      <c r="J9" s="21"/>
      <c r="K9" s="21"/>
      <c r="L9" s="21"/>
      <c r="M9" s="21"/>
      <c r="N9" s="21"/>
    </row>
    <row r="10" spans="1:14" x14ac:dyDescent="0.3">
      <c r="A10" s="21"/>
      <c r="B10" s="21"/>
      <c r="C10" s="21"/>
      <c r="D10" s="21"/>
      <c r="E10" s="21"/>
      <c r="F10" s="21"/>
      <c r="G10" s="21"/>
      <c r="H10" s="21"/>
      <c r="I10" s="21"/>
      <c r="J10" s="21"/>
      <c r="K10" s="21"/>
      <c r="L10" s="21"/>
      <c r="M10" s="21"/>
      <c r="N10" s="21"/>
    </row>
    <row r="11" spans="1:14" x14ac:dyDescent="0.3">
      <c r="A11" s="21"/>
      <c r="B11" s="21"/>
      <c r="C11" s="21"/>
      <c r="D11" s="21"/>
      <c r="E11" s="21"/>
      <c r="F11" s="21"/>
      <c r="G11" s="21"/>
      <c r="H11" s="21"/>
      <c r="I11" s="21"/>
      <c r="J11" s="21"/>
      <c r="K11" s="21"/>
      <c r="L11" s="21"/>
      <c r="M11" s="21"/>
      <c r="N11" s="21"/>
    </row>
    <row r="12" spans="1:14" x14ac:dyDescent="0.3">
      <c r="A12" s="21"/>
      <c r="B12" s="21"/>
      <c r="C12" s="21"/>
      <c r="D12" s="21"/>
      <c r="E12" s="21"/>
      <c r="F12" s="21"/>
      <c r="G12" s="21"/>
      <c r="H12" s="21"/>
      <c r="I12" s="21"/>
      <c r="J12" s="21"/>
      <c r="K12" s="21"/>
      <c r="L12" s="21"/>
      <c r="M12" s="21"/>
      <c r="N12" s="21"/>
    </row>
    <row r="13" spans="1:14" x14ac:dyDescent="0.3">
      <c r="A13" s="21"/>
      <c r="B13" s="21"/>
      <c r="C13" s="21"/>
      <c r="D13" s="21"/>
      <c r="E13" s="21"/>
      <c r="F13" s="21"/>
      <c r="G13" s="21"/>
      <c r="H13" s="21"/>
      <c r="I13" s="21"/>
      <c r="J13" s="21"/>
      <c r="K13" s="21"/>
      <c r="L13" s="21"/>
      <c r="M13" s="21"/>
      <c r="N13" s="21"/>
    </row>
    <row r="14" spans="1:14" x14ac:dyDescent="0.3">
      <c r="A14" s="21"/>
      <c r="B14" s="21"/>
      <c r="C14" s="21"/>
      <c r="D14" s="21"/>
      <c r="E14" s="21"/>
      <c r="F14" s="21"/>
      <c r="G14" s="21"/>
      <c r="H14" s="21"/>
      <c r="I14" s="21"/>
      <c r="J14" s="21"/>
      <c r="K14" s="21"/>
      <c r="L14" s="21"/>
      <c r="M14" s="21"/>
      <c r="N14" s="21"/>
    </row>
    <row r="15" spans="1:14" x14ac:dyDescent="0.3">
      <c r="A15" s="21"/>
      <c r="B15" s="21"/>
      <c r="C15" s="21"/>
      <c r="D15" s="21"/>
      <c r="E15" s="21"/>
      <c r="F15" s="21"/>
      <c r="G15" s="21"/>
      <c r="H15" s="21"/>
      <c r="I15" s="21"/>
      <c r="J15" s="21"/>
      <c r="K15" s="21"/>
      <c r="L15" s="21"/>
      <c r="M15" s="21"/>
      <c r="N15" s="21"/>
    </row>
    <row r="16" spans="1:14" x14ac:dyDescent="0.3">
      <c r="A16" s="21"/>
      <c r="B16" s="21"/>
      <c r="C16" s="21"/>
      <c r="D16" s="21"/>
      <c r="E16" s="21"/>
      <c r="F16" s="21"/>
      <c r="G16" s="21"/>
      <c r="H16" s="21"/>
      <c r="I16" s="21"/>
      <c r="J16" s="21"/>
      <c r="K16" s="21"/>
      <c r="L16" s="21"/>
      <c r="M16" s="21"/>
      <c r="N16" s="21"/>
    </row>
    <row r="17" spans="1:14" x14ac:dyDescent="0.3">
      <c r="A17" s="21"/>
      <c r="B17" s="21"/>
      <c r="C17" s="21"/>
      <c r="D17" s="21"/>
      <c r="E17" s="21"/>
      <c r="F17" s="21"/>
      <c r="G17" s="21"/>
      <c r="H17" s="21"/>
      <c r="I17" s="21"/>
      <c r="J17" s="21"/>
      <c r="K17" s="21"/>
      <c r="L17" s="21"/>
      <c r="M17" s="21"/>
      <c r="N17" s="21"/>
    </row>
    <row r="18" spans="1:14" x14ac:dyDescent="0.3">
      <c r="A18" s="21"/>
      <c r="B18" s="21"/>
      <c r="C18" s="21"/>
      <c r="D18" s="21"/>
      <c r="E18" s="21"/>
      <c r="F18" s="21"/>
      <c r="G18" s="21"/>
      <c r="H18" s="21"/>
      <c r="I18" s="21"/>
      <c r="J18" s="21"/>
      <c r="K18" s="21"/>
      <c r="L18" s="21"/>
      <c r="M18" s="21"/>
      <c r="N18" s="21"/>
    </row>
    <row r="19" spans="1:14" x14ac:dyDescent="0.3">
      <c r="A19" s="21"/>
      <c r="B19" s="21"/>
      <c r="C19" s="21"/>
      <c r="D19" s="21"/>
      <c r="E19" s="21"/>
      <c r="F19" s="21"/>
      <c r="G19" s="21"/>
      <c r="H19" s="21"/>
      <c r="I19" s="21"/>
      <c r="J19" s="21"/>
      <c r="K19" s="21"/>
      <c r="L19" s="21"/>
      <c r="M19" s="21"/>
      <c r="N19" s="21"/>
    </row>
    <row r="20" spans="1:14" x14ac:dyDescent="0.3">
      <c r="A20" s="21"/>
      <c r="B20" s="21"/>
      <c r="C20" s="21"/>
      <c r="D20" s="21"/>
      <c r="E20" s="21"/>
      <c r="F20" s="21"/>
      <c r="G20" s="21"/>
      <c r="H20" s="21"/>
      <c r="I20" s="21"/>
      <c r="J20" s="21"/>
      <c r="K20" s="21"/>
      <c r="L20" s="21"/>
      <c r="M20" s="21"/>
      <c r="N20" s="21"/>
    </row>
    <row r="21" spans="1:14" x14ac:dyDescent="0.3">
      <c r="A21" s="21"/>
      <c r="B21" s="21"/>
      <c r="C21" s="21"/>
      <c r="D21" s="21"/>
      <c r="E21" s="21"/>
      <c r="F21" s="21"/>
      <c r="G21" s="21"/>
      <c r="H21" s="21"/>
      <c r="I21" s="21"/>
      <c r="J21" s="21"/>
      <c r="K21" s="21"/>
      <c r="L21" s="21"/>
      <c r="M21" s="21"/>
      <c r="N21" s="21"/>
    </row>
    <row r="22" spans="1:14" x14ac:dyDescent="0.3">
      <c r="A22" s="21"/>
      <c r="B22" s="21"/>
      <c r="C22" s="21"/>
      <c r="D22" s="21"/>
      <c r="E22" s="21"/>
      <c r="F22" s="21"/>
      <c r="G22" s="21"/>
      <c r="H22" s="21"/>
      <c r="I22" s="21"/>
      <c r="J22" s="21"/>
      <c r="K22" s="21"/>
      <c r="L22" s="21"/>
      <c r="M22" s="21"/>
      <c r="N22" s="21"/>
    </row>
    <row r="23" spans="1:14" x14ac:dyDescent="0.3">
      <c r="A23" s="21"/>
      <c r="B23" s="21"/>
      <c r="C23" s="21"/>
      <c r="D23" s="21"/>
      <c r="E23" s="21"/>
      <c r="F23" s="21"/>
      <c r="G23" s="21"/>
      <c r="H23" s="21"/>
      <c r="I23" s="21"/>
      <c r="J23" s="21"/>
      <c r="K23" s="21"/>
      <c r="L23" s="21"/>
      <c r="M23" s="21"/>
      <c r="N23" s="21"/>
    </row>
    <row r="24" spans="1:14" x14ac:dyDescent="0.3">
      <c r="A24" s="21"/>
      <c r="B24" s="21"/>
      <c r="C24" s="21"/>
      <c r="D24" s="21"/>
      <c r="E24" s="21"/>
      <c r="F24" s="21"/>
      <c r="G24" s="21"/>
      <c r="H24" s="21"/>
      <c r="I24" s="21"/>
      <c r="J24" s="21"/>
      <c r="K24" s="21"/>
      <c r="L24" s="21"/>
      <c r="M24" s="21"/>
      <c r="N24" s="21"/>
    </row>
    <row r="25" spans="1:14" x14ac:dyDescent="0.3">
      <c r="A25" s="21"/>
      <c r="B25" s="21"/>
      <c r="C25" s="21"/>
      <c r="D25" s="21"/>
      <c r="E25" s="21"/>
      <c r="F25" s="21"/>
      <c r="G25" s="21"/>
      <c r="H25" s="21"/>
      <c r="I25" s="21"/>
      <c r="J25" s="21"/>
      <c r="K25" s="21"/>
      <c r="L25" s="21"/>
      <c r="M25" s="21"/>
      <c r="N25" s="21"/>
    </row>
    <row r="26" spans="1:14" x14ac:dyDescent="0.3">
      <c r="A26" s="21"/>
      <c r="B26" s="21"/>
      <c r="C26" s="21"/>
      <c r="D26" s="21"/>
      <c r="E26" s="21"/>
      <c r="F26" s="21"/>
      <c r="G26" s="21"/>
      <c r="H26" s="21"/>
      <c r="I26" s="21"/>
      <c r="J26" s="21"/>
      <c r="K26" s="21"/>
      <c r="L26" s="21"/>
      <c r="M26" s="21"/>
      <c r="N26" s="21"/>
    </row>
    <row r="27" spans="1:14" x14ac:dyDescent="0.3">
      <c r="A27" s="21"/>
      <c r="B27" s="21"/>
      <c r="C27" s="21"/>
      <c r="D27" s="21"/>
      <c r="E27" s="21"/>
      <c r="F27" s="21"/>
      <c r="G27" s="21"/>
      <c r="H27" s="21"/>
      <c r="I27" s="21"/>
      <c r="J27" s="21"/>
      <c r="K27" s="21"/>
      <c r="L27" s="21"/>
      <c r="M27" s="21"/>
      <c r="N27" s="21"/>
    </row>
    <row r="28" spans="1:14" x14ac:dyDescent="0.3">
      <c r="A28" s="21"/>
      <c r="B28" s="21"/>
      <c r="C28" s="21"/>
      <c r="D28" s="21"/>
      <c r="E28" s="21"/>
      <c r="F28" s="21"/>
      <c r="G28" s="21"/>
      <c r="H28" s="21"/>
      <c r="I28" s="21"/>
      <c r="J28" s="21"/>
      <c r="K28" s="21"/>
      <c r="L28" s="21"/>
      <c r="M28" s="21"/>
      <c r="N28" s="21"/>
    </row>
    <row r="29" spans="1:14" x14ac:dyDescent="0.3">
      <c r="A29" s="21"/>
      <c r="B29" s="21"/>
      <c r="C29" s="21"/>
      <c r="D29" s="21"/>
      <c r="E29" s="21"/>
      <c r="F29" s="21"/>
      <c r="G29" s="21"/>
      <c r="H29" s="21"/>
      <c r="I29" s="21"/>
      <c r="J29" s="21"/>
      <c r="K29" s="21"/>
      <c r="L29" s="21"/>
      <c r="M29" s="21"/>
      <c r="N29" s="21"/>
    </row>
    <row r="30" spans="1:14" x14ac:dyDescent="0.3">
      <c r="A30" s="21"/>
      <c r="B30" s="21"/>
      <c r="C30" s="21"/>
      <c r="D30" s="21"/>
      <c r="E30" s="21"/>
      <c r="F30" s="21"/>
      <c r="G30" s="21"/>
      <c r="H30" s="21"/>
      <c r="I30" s="21"/>
      <c r="J30" s="21"/>
      <c r="K30" s="21"/>
      <c r="L30" s="21"/>
      <c r="M30" s="21"/>
      <c r="N30" s="21"/>
    </row>
    <row r="31" spans="1:14" x14ac:dyDescent="0.3">
      <c r="A31" s="21"/>
      <c r="B31" s="21"/>
      <c r="C31" s="21"/>
      <c r="D31" s="21"/>
      <c r="E31" s="21"/>
      <c r="F31" s="21"/>
      <c r="G31" s="21"/>
      <c r="H31" s="21"/>
      <c r="I31" s="21"/>
      <c r="J31" s="21"/>
      <c r="K31" s="21"/>
      <c r="L31" s="21"/>
      <c r="M31" s="21"/>
      <c r="N31" s="21"/>
    </row>
    <row r="32" spans="1:14" x14ac:dyDescent="0.3">
      <c r="A32" s="21"/>
      <c r="B32" s="21"/>
      <c r="C32" s="21"/>
      <c r="D32" s="21"/>
      <c r="E32" s="21"/>
      <c r="F32" s="21"/>
      <c r="G32" s="21"/>
      <c r="H32" s="21"/>
      <c r="I32" s="21"/>
      <c r="J32" s="21"/>
      <c r="K32" s="21"/>
      <c r="L32" s="21"/>
      <c r="M32" s="21"/>
      <c r="N32" s="21"/>
    </row>
    <row r="33" spans="1:14" x14ac:dyDescent="0.3">
      <c r="A33" s="21"/>
      <c r="B33" s="21"/>
      <c r="C33" s="21"/>
      <c r="D33" s="21"/>
      <c r="E33" s="21"/>
      <c r="F33" s="21"/>
      <c r="G33" s="21"/>
      <c r="H33" s="21"/>
      <c r="I33" s="21"/>
      <c r="J33" s="21"/>
      <c r="K33" s="21"/>
      <c r="L33" s="21"/>
      <c r="M33" s="21"/>
      <c r="N33" s="21"/>
    </row>
    <row r="34" spans="1:14" x14ac:dyDescent="0.3">
      <c r="A34" s="21"/>
      <c r="B34" s="21"/>
      <c r="C34" s="21"/>
      <c r="D34" s="21"/>
      <c r="E34" s="21"/>
      <c r="F34" s="21"/>
      <c r="G34" s="21"/>
      <c r="H34" s="21"/>
      <c r="I34" s="21"/>
      <c r="J34" s="21"/>
      <c r="K34" s="21"/>
      <c r="L34" s="21"/>
      <c r="M34" s="21"/>
      <c r="N34" s="21"/>
    </row>
    <row r="35" spans="1:14" x14ac:dyDescent="0.3">
      <c r="A35" s="21"/>
      <c r="B35" s="21"/>
      <c r="C35" s="21"/>
      <c r="D35" s="21"/>
      <c r="E35" s="21"/>
      <c r="F35" s="21"/>
      <c r="G35" s="21"/>
      <c r="H35" s="21"/>
      <c r="I35" s="21"/>
      <c r="J35" s="21"/>
      <c r="K35" s="21"/>
      <c r="L35" s="21"/>
      <c r="M35" s="21"/>
      <c r="N35" s="21"/>
    </row>
    <row r="36" spans="1:14" x14ac:dyDescent="0.3">
      <c r="A36" s="21"/>
      <c r="B36" s="21"/>
      <c r="C36" s="21"/>
      <c r="D36" s="21"/>
      <c r="E36" s="21"/>
      <c r="F36" s="21"/>
      <c r="G36" s="21"/>
      <c r="H36" s="21"/>
      <c r="I36" s="21"/>
      <c r="J36" s="21"/>
      <c r="K36" s="21"/>
      <c r="L36" s="21"/>
      <c r="M36" s="21"/>
      <c r="N36" s="21"/>
    </row>
    <row r="37" spans="1:14" x14ac:dyDescent="0.3">
      <c r="A37" s="21"/>
      <c r="B37" s="21"/>
      <c r="C37" s="21"/>
      <c r="D37" s="21"/>
      <c r="E37" s="21"/>
      <c r="F37" s="21"/>
      <c r="G37" s="21"/>
      <c r="H37" s="21"/>
      <c r="I37" s="21"/>
      <c r="J37" s="21"/>
      <c r="K37" s="21"/>
      <c r="L37" s="21"/>
      <c r="M37" s="21"/>
      <c r="N37" s="21"/>
    </row>
    <row r="38" spans="1:14" x14ac:dyDescent="0.3">
      <c r="A38" s="21"/>
      <c r="B38" s="21"/>
      <c r="C38" s="21"/>
      <c r="D38" s="21"/>
      <c r="E38" s="21"/>
      <c r="F38" s="21"/>
      <c r="G38" s="21"/>
      <c r="H38" s="21"/>
      <c r="I38" s="21"/>
      <c r="J38" s="21"/>
      <c r="K38" s="21"/>
      <c r="L38" s="21"/>
      <c r="M38" s="21"/>
      <c r="N38" s="21"/>
    </row>
    <row r="39" spans="1:14" x14ac:dyDescent="0.3">
      <c r="A39" s="21"/>
      <c r="B39" s="21"/>
      <c r="C39" s="21"/>
      <c r="D39" s="21"/>
      <c r="E39" s="21"/>
      <c r="F39" s="21"/>
      <c r="G39" s="21"/>
      <c r="H39" s="21"/>
      <c r="I39" s="21"/>
      <c r="J39" s="21"/>
      <c r="K39" s="21"/>
      <c r="L39" s="21"/>
      <c r="M39" s="21"/>
      <c r="N39" s="21"/>
    </row>
    <row r="40" spans="1:14" x14ac:dyDescent="0.3">
      <c r="A40" s="21"/>
      <c r="B40" s="21"/>
      <c r="C40" s="21"/>
      <c r="D40" s="21"/>
      <c r="E40" s="21"/>
      <c r="F40" s="21"/>
      <c r="G40" s="21"/>
      <c r="H40" s="21"/>
      <c r="I40" s="21"/>
      <c r="J40" s="21"/>
      <c r="K40" s="21"/>
      <c r="L40" s="21"/>
      <c r="M40" s="21"/>
      <c r="N40" s="21"/>
    </row>
  </sheetData>
  <mergeCells count="1">
    <mergeCell ref="A1:N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zoomScaleNormal="100" workbookViewId="0"/>
  </sheetViews>
  <sheetFormatPr defaultColWidth="8.6640625" defaultRowHeight="14.4" x14ac:dyDescent="0.3"/>
  <sheetData>
    <row r="1" spans="1:22" x14ac:dyDescent="0.3">
      <c r="A1" t="s">
        <v>9</v>
      </c>
      <c r="B1" t="s">
        <v>15</v>
      </c>
      <c r="C1" t="s">
        <v>12</v>
      </c>
      <c r="E1" t="s">
        <v>20</v>
      </c>
      <c r="F1" t="s">
        <v>172</v>
      </c>
      <c r="H1" t="s">
        <v>158</v>
      </c>
      <c r="I1" t="s">
        <v>173</v>
      </c>
      <c r="K1" t="s">
        <v>84</v>
      </c>
      <c r="L1" t="s">
        <v>174</v>
      </c>
      <c r="N1" t="s">
        <v>106</v>
      </c>
      <c r="O1" t="s">
        <v>114</v>
      </c>
      <c r="P1" t="s">
        <v>175</v>
      </c>
      <c r="R1" t="s">
        <v>20</v>
      </c>
      <c r="S1" t="s">
        <v>172</v>
      </c>
      <c r="U1" t="s">
        <v>176</v>
      </c>
      <c r="V1" t="s">
        <v>171</v>
      </c>
    </row>
    <row r="2" spans="1:22" x14ac:dyDescent="0.3">
      <c r="A2" t="s">
        <v>24</v>
      </c>
      <c r="B2">
        <f>SUMIF(Pipeline!D:D,A2,Pipeline!J:J)</f>
        <v>4200012</v>
      </c>
      <c r="C2">
        <f>SUMIF(Pipeline!D:D,A2,Pipeline!G:G)</f>
        <v>11080000</v>
      </c>
      <c r="E2" t="s">
        <v>30</v>
      </c>
      <c r="F2">
        <f>COUNTIF(Pipeline!O:O,"Open")</f>
        <v>7</v>
      </c>
      <c r="H2" t="s">
        <v>161</v>
      </c>
      <c r="I2">
        <f>COUNTIF(Meetings!A:A,"&gt;="&amp;DATE(2025,1,1))-COUNTIF(Meetings!A:A,"&gt;="&amp;DATE(2025,2,1))</f>
        <v>3</v>
      </c>
      <c r="K2" t="s">
        <v>29</v>
      </c>
      <c r="L2">
        <f>COUNTIF(Meetings!E:E,K2)</f>
        <v>4</v>
      </c>
      <c r="N2" t="s">
        <v>108</v>
      </c>
      <c r="O2">
        <f>SUMIF(Partners!B:B,N2,Partners!E:E)</f>
        <v>24300000</v>
      </c>
      <c r="P2">
        <f>SUMIF(Partners!B:B,N2,Partners!D:D)</f>
        <v>118</v>
      </c>
      <c r="R2" t="s">
        <v>117</v>
      </c>
      <c r="S2">
        <f>COUNTIF(Partners!F:F,"Active")</f>
        <v>14</v>
      </c>
      <c r="U2" t="s">
        <v>177</v>
      </c>
      <c r="V2">
        <f>SUM(Pipeline!G:G)</f>
        <v>12615000</v>
      </c>
    </row>
    <row r="3" spans="1:22" x14ac:dyDescent="0.3">
      <c r="A3" t="s">
        <v>34</v>
      </c>
      <c r="B3">
        <f>SUMIF(Pipeline!D:D,A3,Pipeline!J:J)</f>
        <v>1200003</v>
      </c>
      <c r="C3">
        <f>SUMIF(Pipeline!D:D,A3,Pipeline!G:G)</f>
        <v>345000</v>
      </c>
      <c r="E3" t="s">
        <v>48</v>
      </c>
      <c r="F3">
        <f>COUNTIF(Pipeline!O:O,"Closed Won")</f>
        <v>3</v>
      </c>
      <c r="H3" t="s">
        <v>162</v>
      </c>
      <c r="I3">
        <f>COUNTIF(Meetings!A:A,"&gt;="&amp;DATE(2025,2,1))-COUNTIF(Meetings!A:A,"&gt;="&amp;DATE(2025,3,1))</f>
        <v>3</v>
      </c>
      <c r="K3" t="s">
        <v>39</v>
      </c>
      <c r="L3">
        <f>COUNTIF(Meetings!E:E,K3)</f>
        <v>3</v>
      </c>
      <c r="N3" t="s">
        <v>109</v>
      </c>
      <c r="O3">
        <f>SUMIF(Partners!B:B,N3,Partners!E:E)</f>
        <v>19800000</v>
      </c>
      <c r="P3">
        <f>SUMIF(Partners!B:B,N3,Partners!D:D)</f>
        <v>52</v>
      </c>
      <c r="R3" t="s">
        <v>131</v>
      </c>
      <c r="S3">
        <f>COUNTIF(Partners!F:F,"Inactive")</f>
        <v>3</v>
      </c>
      <c r="U3" t="s">
        <v>15</v>
      </c>
      <c r="V3">
        <f>SUM(Pipeline!J:J)</f>
        <v>8600024</v>
      </c>
    </row>
    <row r="4" spans="1:22" x14ac:dyDescent="0.3">
      <c r="A4" t="s">
        <v>43</v>
      </c>
      <c r="B4">
        <f>SUMIF(Pipeline!D:D,A4,Pipeline!J:J)</f>
        <v>1200003</v>
      </c>
      <c r="C4">
        <f>SUMIF(Pipeline!D:D,A4,Pipeline!G:G)</f>
        <v>625000</v>
      </c>
      <c r="E4" t="s">
        <v>69</v>
      </c>
      <c r="F4">
        <f>COUNTIF(Pipeline!O:O,"Closed Lost")</f>
        <v>0</v>
      </c>
      <c r="H4" t="s">
        <v>163</v>
      </c>
      <c r="I4">
        <f>COUNTIF(Meetings!A:A,"&gt;="&amp;DATE(2025,3,1))-COUNTIF(Meetings!A:A,"&gt;="&amp;DATE(2025,4,1))</f>
        <v>2</v>
      </c>
      <c r="K4" t="s">
        <v>55</v>
      </c>
      <c r="L4">
        <f>COUNTIF(Meetings!E:E,K4)</f>
        <v>3</v>
      </c>
      <c r="N4" t="s">
        <v>107</v>
      </c>
      <c r="O4">
        <f>SUMIF(Partners!B:B,N4,Partners!E:E)</f>
        <v>18400000</v>
      </c>
      <c r="P4">
        <f>SUMIF(Partners!B:B,N4,Partners!D:D)</f>
        <v>53</v>
      </c>
      <c r="R4" t="s">
        <v>124</v>
      </c>
      <c r="S4">
        <f>COUNTIF(Partners!F:F,"Prospect")</f>
        <v>3</v>
      </c>
      <c r="U4" t="s">
        <v>48</v>
      </c>
      <c r="V4">
        <f>SUMIF(Pipeline!O:O,"Closed Won",Pipeline!G:G)</f>
        <v>935000</v>
      </c>
    </row>
    <row r="5" spans="1:22" x14ac:dyDescent="0.3">
      <c r="A5" t="s">
        <v>58</v>
      </c>
      <c r="B5">
        <f>SUMIF(Pipeline!D:D,A5,Pipeline!J:J)</f>
        <v>2000006</v>
      </c>
      <c r="C5">
        <f>SUMIF(Pipeline!D:D,A5,Pipeline!G:G)</f>
        <v>565000</v>
      </c>
      <c r="H5" t="s">
        <v>164</v>
      </c>
      <c r="I5">
        <f>COUNTIF(Meetings!A:A,"&gt;="&amp;DATE(2025,4,1))-COUNTIF(Meetings!A:A,"&gt;="&amp;DATE(2025,5,1))</f>
        <v>2</v>
      </c>
      <c r="N5" t="s">
        <v>110</v>
      </c>
      <c r="O5">
        <f>SUMIF(Partners!B:B,N5,Partners!E:E)</f>
        <v>34200000</v>
      </c>
      <c r="P5">
        <f>SUMIF(Partners!B:B,N5,Partners!D:D)</f>
        <v>83</v>
      </c>
      <c r="U5" t="s">
        <v>178</v>
      </c>
      <c r="V5">
        <f>SUMIF(Pipeline!O:O,"Open",Pipeline!G:G)</f>
        <v>1680000</v>
      </c>
    </row>
    <row r="6" spans="1:22" x14ac:dyDescent="0.3">
      <c r="A6" t="s">
        <v>179</v>
      </c>
      <c r="B6">
        <f>SUMIF(Pipeline!D:D,A6,Pipeline!J:J)</f>
        <v>0</v>
      </c>
      <c r="C6">
        <f>SUMIF(Pipeline!D:D,A6,Pipeline!G:G)</f>
        <v>0</v>
      </c>
      <c r="H6" t="s">
        <v>165</v>
      </c>
      <c r="I6">
        <f>COUNTIF(Meetings!A:A,"&gt;="&amp;DATE(2025,5,1))-COUNTIF(Meetings!A:A,"&gt;="&amp;DATE(2025,6,1))</f>
        <v>0</v>
      </c>
      <c r="U6" t="s">
        <v>180</v>
      </c>
      <c r="V6">
        <f>SUM(Forecast!B:B)</f>
        <v>6470000</v>
      </c>
    </row>
    <row r="7" spans="1:22" x14ac:dyDescent="0.3">
      <c r="H7" t="s">
        <v>166</v>
      </c>
      <c r="I7">
        <f>COUNTIF(Meetings!A:A,"&gt;="&amp;DATE(2025,6,1))-COUNTIF(Meetings!A:A,"&gt;="&amp;DATE(2025,7,1))</f>
        <v>0</v>
      </c>
    </row>
    <row r="8" spans="1:22" x14ac:dyDescent="0.3">
      <c r="H8" t="s">
        <v>167</v>
      </c>
      <c r="I8">
        <f>COUNTIF(Meetings!A:A,"&gt;="&amp;DATE(2025,7,1))-COUNTIF(Meetings!A:A,"&gt;="&amp;DATE(2025,8,1))</f>
        <v>0</v>
      </c>
    </row>
    <row r="9" spans="1:22" x14ac:dyDescent="0.3">
      <c r="H9" t="s">
        <v>168</v>
      </c>
      <c r="I9">
        <f>COUNTIF(Meetings!A:A,"&gt;="&amp;DATE(2025,8,1))-COUNTIF(Meetings!A:A,"&gt;="&amp;DATE(2025,9,1))</f>
        <v>0</v>
      </c>
    </row>
    <row r="10" spans="1:22" x14ac:dyDescent="0.3">
      <c r="H10" t="s">
        <v>169</v>
      </c>
      <c r="I10">
        <f>COUNTIF(Meetings!A:A,"&gt;="&amp;DATE(2025,9,1))-COUNTIF(Meetings!A:A,"&gt;="&amp;DATE(2025,10,1))</f>
        <v>0</v>
      </c>
    </row>
    <row r="11" spans="1:22" x14ac:dyDescent="0.3">
      <c r="H11" t="s">
        <v>170</v>
      </c>
      <c r="I11">
        <f>COUNTIF(Meetings!A:A,"&gt;="&amp;DATE(2025,10,1))-COUNTIF(Meetings!A:A,"&gt;="&amp;DATE(2025,11,1))</f>
        <v>0</v>
      </c>
    </row>
    <row r="12" spans="1:22" x14ac:dyDescent="0.3">
      <c r="H12" t="s">
        <v>181</v>
      </c>
      <c r="I12">
        <f>COUNTIF(Meetings!A:A,"&gt;="&amp;DATE(2025,11,1))-COUNTIF(Meetings!A:A,"&gt;="&amp;DATE(2025,12,1))</f>
        <v>0</v>
      </c>
    </row>
    <row r="13" spans="1:22" x14ac:dyDescent="0.3">
      <c r="H13" t="s">
        <v>182</v>
      </c>
      <c r="I13">
        <f>COUNTIF(Meetings!A:A,"&gt;="&amp;DATE(2025,12,1))-COUNTIF(Meetings!A:A,"&gt;="&amp;DATE(2025,13,1))</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Meetings</vt:lpstr>
      <vt:lpstr>Partners</vt:lpstr>
      <vt:lpstr>Forecast</vt:lpstr>
      <vt:lpstr>Pipeline</vt:lpstr>
      <vt:lpstr>CRM</vt:lpstr>
      <vt:lpstr>Pivot</vt:lpstr>
      <vt:lpstr>Dashboard</vt:lpstr>
      <vt:lpstr>_AggData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1</cp:revision>
  <dcterms:created xsi:type="dcterms:W3CDTF">2026-06-09T09:45:37Z</dcterms:created>
  <dcterms:modified xsi:type="dcterms:W3CDTF">2026-06-22T07:21:03Z</dcterms:modified>
  <dc:language>en-US</dc:language>
</cp:coreProperties>
</file>